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чет" sheetId="1" r:id="rId5"/>
    <sheet state="visible" name="Издержки на текучку" sheetId="2" r:id="rId6"/>
    <sheet state="hidden" name="___" sheetId="3" r:id="rId7"/>
  </sheets>
  <definedNames/>
  <calcPr/>
</workbook>
</file>

<file path=xl/sharedStrings.xml><?xml version="1.0" encoding="utf-8"?>
<sst xmlns="http://schemas.openxmlformats.org/spreadsheetml/2006/main" count="223" uniqueCount="145">
  <si>
    <t>Количество сотрудников</t>
  </si>
  <si>
    <t>Количество сотрудников, которым будет доступна психологическая поддержка</t>
  </si>
  <si>
    <t xml:space="preserve">
</t>
  </si>
  <si>
    <t>Тариф</t>
  </si>
  <si>
    <r>
      <rPr>
        <rFont val="Montserrat"/>
        <b/>
        <color rgb="FF434343"/>
        <sz val="9.0"/>
      </rPr>
      <t>Оптимальный</t>
    </r>
    <r>
      <rPr>
        <rFont val="Montserrat"/>
        <color rgb="FF434343"/>
        <sz val="9.0"/>
      </rPr>
      <t xml:space="preserve"> - 80% специалистов сервиса, ср. стоимость сессии 3600 р.
</t>
    </r>
    <r>
      <rPr>
        <rFont val="Montserrat"/>
        <b/>
        <color rgb="FF434343"/>
        <sz val="9.0"/>
      </rPr>
      <t>Максимальный</t>
    </r>
    <r>
      <rPr>
        <rFont val="Montserrat"/>
        <color rgb="FF434343"/>
        <sz val="9.0"/>
      </rPr>
      <t xml:space="preserve"> - 100% специалистов сервиса, ср. стоимость сессии 4400 р.</t>
    </r>
  </si>
  <si>
    <t>Оптимальный</t>
  </si>
  <si>
    <t>Тип компенсации</t>
  </si>
  <si>
    <r>
      <rPr>
        <rFont val="Montserrat"/>
        <b/>
        <color rgb="FF434343"/>
        <sz val="9.0"/>
      </rPr>
      <t>Процент</t>
    </r>
    <r>
      <rPr>
        <rFont val="Montserrat"/>
        <color rgb="FF434343"/>
        <sz val="9.0"/>
      </rPr>
      <t xml:space="preserve"> - компания оплачивает долю от стоимости каждой сессии
</t>
    </r>
    <r>
      <rPr>
        <rFont val="Montserrat"/>
        <b/>
        <color rgb="FF434343"/>
        <sz val="9.0"/>
      </rPr>
      <t>Рубли</t>
    </r>
    <r>
      <rPr>
        <rFont val="Montserrat"/>
        <color rgb="FF434343"/>
        <sz val="9.0"/>
      </rPr>
      <t xml:space="preserve"> - компания оплачивает фиксированную сумму от стоимости сессии</t>
    </r>
  </si>
  <si>
    <t>Рубли</t>
  </si>
  <si>
    <t>Размер компенсации</t>
  </si>
  <si>
    <t xml:space="preserve">Выберите сумму или процент, которую компания готова оплачивать
Остаток сверх фиксированной суммы или доли доплачивает сотрудник </t>
  </si>
  <si>
    <t>Доступ сотрудника</t>
  </si>
  <si>
    <r>
      <rPr>
        <rFont val="Montserrat"/>
        <b/>
        <color rgb="FF434343"/>
        <sz val="9.0"/>
      </rPr>
      <t xml:space="preserve">Прямой </t>
    </r>
    <r>
      <rPr>
        <rFont val="Montserrat"/>
        <color rgb="FF434343"/>
        <sz val="9.0"/>
      </rPr>
      <t xml:space="preserve"> - не нужно делать дополнительные шаги для активации скидки
</t>
    </r>
    <r>
      <rPr>
        <rFont val="Montserrat"/>
        <b/>
        <color rgb="FF434343"/>
        <sz val="9.0"/>
      </rPr>
      <t xml:space="preserve">Непрямой </t>
    </r>
    <r>
      <rPr>
        <rFont val="Montserrat"/>
        <color rgb="FF434343"/>
        <sz val="9.0"/>
      </rPr>
      <t>- для получения скидки нужно обратиться к HR или заполнить форму</t>
    </r>
  </si>
  <si>
    <t>Прямой доступ</t>
  </si>
  <si>
    <t>Прогноз бюджета для _______________</t>
  </si>
  <si>
    <r>
      <rPr>
        <rFont val="Montserrat"/>
        <b/>
        <color rgb="FFFFFFFF"/>
        <sz val="11.0"/>
      </rPr>
      <t xml:space="preserve">Лимит сессий в месяц 
</t>
    </r>
    <r>
      <rPr>
        <rFont val="Montserrat"/>
        <b val="0"/>
        <i/>
        <color rgb="FFFFFFFF"/>
        <sz val="10.0"/>
      </rPr>
      <t>Максимальное количество сессий от компании в месяц на одного сотрудника</t>
    </r>
  </si>
  <si>
    <t>Прогноз вовлечённости, %</t>
  </si>
  <si>
    <t>Прогноз активных сотрудников</t>
  </si>
  <si>
    <t>Ср. число сессий 
на сотрудника в год</t>
  </si>
  <si>
    <t>Итого сессий за год</t>
  </si>
  <si>
    <t>Средняя стоимость сессии для компании, ₽</t>
  </si>
  <si>
    <t>Ср. платеж
(в месяц)</t>
  </si>
  <si>
    <t>ИТОГО прогноз бюджета (год), ₽</t>
  </si>
  <si>
    <r>
      <rPr>
        <rFont val="Montserrat"/>
        <b/>
        <color rgb="FF434343"/>
        <sz val="11.0"/>
      </rPr>
      <t>1 сессия в месяц</t>
    </r>
    <r>
      <rPr>
        <rFont val="Montserrat"/>
        <color rgb="FF434343"/>
        <sz val="10.0"/>
      </rPr>
      <t xml:space="preserve">
</t>
    </r>
    <r>
      <rPr>
        <rFont val="Montserrat"/>
        <i/>
        <color rgb="FF434343"/>
        <sz val="9.0"/>
      </rPr>
      <t>Может восприниматься, как номинальный бенефит. Это влияет на вовлечённость: часть сотрудников не начнет пользоваться</t>
    </r>
  </si>
  <si>
    <r>
      <rPr>
        <rFont val="Montserrat"/>
        <b/>
        <color rgb="FF434343"/>
        <sz val="11.0"/>
      </rPr>
      <t>2 или 3 сессии в месяц</t>
    </r>
    <r>
      <rPr>
        <rFont val="Montserrat"/>
        <color rgb="FF434343"/>
        <sz val="10.0"/>
      </rPr>
      <t xml:space="preserve">
</t>
    </r>
    <r>
      <rPr>
        <rFont val="Montserrat"/>
        <i/>
        <color rgb="FF434343"/>
        <sz val="9.0"/>
      </rPr>
      <t>Комфортный ритм для пользователей. Ср. кол-во сессий на пользователя в мес. составляет 3</t>
    </r>
  </si>
  <si>
    <r>
      <rPr>
        <rFont val="Montserrat"/>
        <b/>
        <color rgb="FF434343"/>
        <sz val="11.0"/>
      </rPr>
      <t xml:space="preserve">4 и более сессии в месяц
</t>
    </r>
    <r>
      <rPr>
        <rFont val="Montserrat"/>
        <b val="0"/>
        <i/>
        <color rgb="FF434343"/>
        <sz val="9.0"/>
      </rPr>
      <t>Дают сотруднику возможность полноценно работать над запросом, а программа принесет максимальную пользу</t>
    </r>
  </si>
  <si>
    <t>Калькулятор расчета издержек на замену 1 сотрудника</t>
  </si>
  <si>
    <t>Заполните ячейки, выделенные зелёным цветом</t>
  </si>
  <si>
    <t>Компонент</t>
  </si>
  <si>
    <t>Примерные расходы</t>
  </si>
  <si>
    <t>Комментарий</t>
  </si>
  <si>
    <t>Выходное пособие, отпускные</t>
  </si>
  <si>
    <t>1 оклад</t>
  </si>
  <si>
    <t>Обычно оплате подлежат неотгуленные дни и компенсации по ТК РФ.</t>
  </si>
  <si>
    <t>Поиск и найм (услуги, время HR)</t>
  </si>
  <si>
    <t>0,5-1 оклада</t>
  </si>
  <si>
    <t>Работа рекрутеров или внешних агентств.
Платные вакансии, размещения на job-сайтах, время команды на отсмотр и интервьюирование.</t>
  </si>
  <si>
    <t>Адаптация и обучение</t>
  </si>
  <si>
    <t>Время наставников и HR на адаптацию нового сотрудника.
Затраты на обучение (внешние/внутренние курсы, тренинги).</t>
  </si>
  <si>
    <t>Потери продуктивности (3 мес. -30%)</t>
  </si>
  <si>
    <t>0,5 оклада</t>
  </si>
  <si>
    <t>Новый сотрудник первые 3–6 месяцев работает с меньшей эффективностью.
Коллегам требуется время на помощь новому члену команды.</t>
  </si>
  <si>
    <t>Ошибки и простои</t>
  </si>
  <si>
    <t>0,2-0,5 оклада</t>
  </si>
  <si>
    <t>В период замещения команда недоукомплектована, возрастает нагрузка, случаются сбои в бизнес-процессах.
Ошибки новичков (особенно на сложных, экспертных позициях).</t>
  </si>
  <si>
    <t>Итого</t>
  </si>
  <si>
    <t>2,7-4 оклада</t>
  </si>
  <si>
    <t>Средний оклад</t>
  </si>
  <si>
    <t>Средние расходы на замену сотрудника</t>
  </si>
  <si>
    <t>Столько компания тратит на замену 1 сотрудника</t>
  </si>
  <si>
    <t>Калькулятор расчета издержек на текучку</t>
  </si>
  <si>
    <t>Количество сотрудников в компании</t>
  </si>
  <si>
    <t>Текучесть кадров</t>
  </si>
  <si>
    <t>В среднем в год уходит сотрудников</t>
  </si>
  <si>
    <t>Издержки на текучку</t>
  </si>
  <si>
    <t>Столько компания теряет в год на текучести кадров</t>
  </si>
  <si>
    <t>Скидки</t>
  </si>
  <si>
    <t>нефикс</t>
  </si>
  <si>
    <t>фикс</t>
  </si>
  <si>
    <t>amount</t>
  </si>
  <si>
    <t>type</t>
  </si>
  <si>
    <t>Процент</t>
  </si>
  <si>
    <t/>
  </si>
  <si>
    <t>Описание</t>
  </si>
  <si>
    <t>Текущий "нейминг" (как говорим между собой)</t>
  </si>
  <si>
    <t>Нефикс (без ограничений)</t>
  </si>
  <si>
    <t xml:space="preserve">Нефикс (с ограничением на выдачу до 5к) </t>
  </si>
  <si>
    <t>Фикс 2800</t>
  </si>
  <si>
    <t>Фикс 2400</t>
  </si>
  <si>
    <t>Размер базы (реальный)</t>
  </si>
  <si>
    <t>100% психологов</t>
  </si>
  <si>
    <t>80% психологов</t>
  </si>
  <si>
    <t>30% психологов</t>
  </si>
  <si>
    <t>13% психологов</t>
  </si>
  <si>
    <t>Индивидуальная терапия</t>
  </si>
  <si>
    <t>да</t>
  </si>
  <si>
    <t>Семейная терапия</t>
  </si>
  <si>
    <t>нет</t>
  </si>
  <si>
    <t>Детская / подростковая терапия</t>
  </si>
  <si>
    <t>Офлайн</t>
  </si>
  <si>
    <t>Коучинг</t>
  </si>
  <si>
    <t>Стоимость сессии</t>
  </si>
  <si>
    <t xml:space="preserve"> = установленной у психолога</t>
  </si>
  <si>
    <t>единая / зафиксирована для компании</t>
  </si>
  <si>
    <t>Средний чек</t>
  </si>
  <si>
    <t>Нейминг (предварительно) для сайта / презы / калькулятора</t>
  </si>
  <si>
    <t>Максимальный</t>
  </si>
  <si>
    <t>Фиксированный</t>
  </si>
  <si>
    <t>Доступность</t>
  </si>
  <si>
    <t>~80% психологов</t>
  </si>
  <si>
    <t>Не более 50% психологов</t>
  </si>
  <si>
    <t>Форматы</t>
  </si>
  <si>
    <t>Все форматы терапии + коучинг</t>
  </si>
  <si>
    <t>Все форматы терапии</t>
  </si>
  <si>
    <t>Индивидуальная терапия онлайн</t>
  </si>
  <si>
    <t>Различная - установлена психологом</t>
  </si>
  <si>
    <t>Фиксированная - согласуем под ваш бюджет</t>
  </si>
  <si>
    <t>Для кого</t>
  </si>
  <si>
    <t>Благополучие команды - ваш приоритет - вы готовы закрыть буквально любой запрос ваших сотрудников.</t>
  </si>
  <si>
    <t>Вы готовы запустить полноценную программу поддержки при контролируемом бюджете.</t>
  </si>
  <si>
    <t>Вы готовы протестировать формат поддержки и начать с базового набора возможностей.</t>
  </si>
  <si>
    <t>Средняя стоимость</t>
  </si>
  <si>
    <t>~ 4 400 р.</t>
  </si>
  <si>
    <t>~ 3 600 р.</t>
  </si>
  <si>
    <t>~ 2 600 р.</t>
  </si>
  <si>
    <t>Алерт</t>
  </si>
  <si>
    <t>Все форматы терапии + коучинг, доступ к 100% психологов сервиса
Благополучие команды - ваш приоритет - вы готовы закрыть буквально любой запрос ваших сотрудников</t>
  </si>
  <si>
    <t>Все форматы терапии, доступ к 80% психологов сервиса
Вы готовы запустить полноценную программу поддержки при контролируемом бюджете</t>
  </si>
  <si>
    <t>Индивидуальная терапия онлайн, доступны не более 50% психологов сервиса</t>
  </si>
  <si>
    <t>non-FIX formulas</t>
  </si>
  <si>
    <r>
      <rPr>
        <rFont val="Montserrat"/>
        <b/>
        <color rgb="FF434343"/>
        <sz val="9.0"/>
      </rPr>
      <t>Фиксированный тариф</t>
    </r>
    <r>
      <rPr>
        <rFont val="Montserrat"/>
        <color rgb="FF434343"/>
        <sz val="9.0"/>
      </rPr>
      <t xml:space="preserve"> - стоимость любой сессии </t>
    </r>
    <r>
      <rPr>
        <rFont val="Montserrat"/>
        <b/>
        <color rgb="FF434343"/>
        <sz val="9.0"/>
      </rPr>
      <t>2800 рублей</t>
    </r>
    <r>
      <rPr>
        <rFont val="Montserrat"/>
        <color rgb="FF434343"/>
        <sz val="9.0"/>
      </rPr>
      <t>,  до 50% специалистов сервиса, только индивидуальная терапия онлайн</t>
    </r>
  </si>
  <si>
    <t xml:space="preserve">Выберите сумму, которую компания готова оплачивать
Остаток сверх фиксированной суммы доплачивает сотрудник </t>
  </si>
  <si>
    <r>
      <rPr>
        <rFont val="Montserrat"/>
        <b/>
        <color rgb="FF434343"/>
        <sz val="9.0"/>
      </rPr>
      <t xml:space="preserve">Прямой </t>
    </r>
    <r>
      <rPr>
        <rFont val="Montserrat"/>
        <color rgb="FF434343"/>
        <sz val="9.0"/>
      </rPr>
      <t xml:space="preserve"> - не нужно делать дополнительные шаги для активации скидки
</t>
    </r>
    <r>
      <rPr>
        <rFont val="Montserrat"/>
        <b/>
        <color rgb="FF434343"/>
        <sz val="9.0"/>
      </rPr>
      <t xml:space="preserve">Непрямой </t>
    </r>
    <r>
      <rPr>
        <rFont val="Montserrat"/>
        <color rgb="FF434343"/>
        <sz val="9.0"/>
      </rPr>
      <t>- для получения скидки нужно обратиться к HR или заполнить форму</t>
    </r>
  </si>
  <si>
    <t>Прогноз бюджета</t>
  </si>
  <si>
    <r>
      <rPr>
        <rFont val="Montserrat"/>
        <b/>
        <color rgb="FFFFFFFF"/>
        <sz val="11.0"/>
      </rPr>
      <t xml:space="preserve">Лимит сессий в месяц 
</t>
    </r>
    <r>
      <rPr>
        <rFont val="Montserrat"/>
        <b val="0"/>
        <i/>
        <color rgb="FFFFFFFF"/>
        <sz val="10.0"/>
      </rPr>
      <t>Максимальное количество сессий от компании в месяц на одного сотрудника</t>
    </r>
  </si>
  <si>
    <t>Стоимость сессии для компании, ₽</t>
  </si>
  <si>
    <t>ИТОГО годовой бюджет, ₽</t>
  </si>
  <si>
    <r>
      <rPr>
        <rFont val="Montserrat"/>
        <b/>
        <color rgb="FF434343"/>
        <sz val="11.0"/>
      </rPr>
      <t>1 сессия в месяц</t>
    </r>
    <r>
      <rPr>
        <rFont val="Montserrat"/>
        <color rgb="FF434343"/>
        <sz val="10.0"/>
      </rPr>
      <t xml:space="preserve">
</t>
    </r>
    <r>
      <rPr>
        <rFont val="Montserrat"/>
        <i/>
        <color rgb="FF434343"/>
        <sz val="9.0"/>
      </rPr>
      <t>Может восприниматься, как номинальный бенефит. Это влияет на вовлечённость: часть сотрудников не начнет пользоваться</t>
    </r>
  </si>
  <si>
    <r>
      <rPr>
        <rFont val="Montserrat"/>
        <b/>
        <color rgb="FF434343"/>
        <sz val="11.0"/>
      </rPr>
      <t>2 или 3 сессии в месяц</t>
    </r>
    <r>
      <rPr>
        <rFont val="Montserrat"/>
        <color rgb="FF434343"/>
        <sz val="10.0"/>
      </rPr>
      <t xml:space="preserve">
</t>
    </r>
    <r>
      <rPr>
        <rFont val="Montserrat"/>
        <i/>
        <color rgb="FF434343"/>
        <sz val="9.0"/>
      </rPr>
      <t>Комфортный ритм для пользователей. Ср. кол-во сессий на пользователя в мес. составляет 3</t>
    </r>
  </si>
  <si>
    <r>
      <rPr>
        <rFont val="Montserrat"/>
        <b/>
        <color rgb="FF434343"/>
        <sz val="11.0"/>
      </rPr>
      <t xml:space="preserve">4 и более сессии в месяц
</t>
    </r>
    <r>
      <rPr>
        <rFont val="Montserrat"/>
        <b val="0"/>
        <i/>
        <color rgb="FF434343"/>
        <sz val="9.0"/>
      </rPr>
      <t>Дают сотруднику возможность полноценно работать над запросом, а программа принесет максимальную пользу</t>
    </r>
  </si>
  <si>
    <t>FIX formulas</t>
  </si>
  <si>
    <r>
      <rPr>
        <rFont val="Montserrat"/>
        <b/>
        <color rgb="FF434343"/>
        <sz val="9.0"/>
      </rPr>
      <t>Оптимальный</t>
    </r>
    <r>
      <rPr>
        <rFont val="Montserrat"/>
        <color rgb="FF434343"/>
        <sz val="9.0"/>
      </rPr>
      <t xml:space="preserve"> - 80% специалистов сервиса, ср. стоимость сессии 3600 р.
</t>
    </r>
    <r>
      <rPr>
        <rFont val="Montserrat"/>
        <b/>
        <color rgb="FF434343"/>
        <sz val="9.0"/>
      </rPr>
      <t>Максимальный</t>
    </r>
    <r>
      <rPr>
        <rFont val="Montserrat"/>
        <color rgb="FF434343"/>
        <sz val="9.0"/>
      </rPr>
      <t xml:space="preserve"> - 100% специалистов сервиса, ср. стоимость сессии 4400 р.</t>
    </r>
  </si>
  <si>
    <r>
      <rPr>
        <rFont val="Montserrat"/>
        <b/>
        <color rgb="FF434343"/>
        <sz val="9.0"/>
      </rPr>
      <t>Процент</t>
    </r>
    <r>
      <rPr>
        <rFont val="Montserrat"/>
        <color rgb="FF434343"/>
        <sz val="9.0"/>
      </rPr>
      <t xml:space="preserve"> - компания оплачивает долю от стоимости каждой сессии
</t>
    </r>
    <r>
      <rPr>
        <rFont val="Montserrat"/>
        <b/>
        <color rgb="FF434343"/>
        <sz val="9.0"/>
      </rPr>
      <t>Рубли</t>
    </r>
    <r>
      <rPr>
        <rFont val="Montserrat"/>
        <color rgb="FF434343"/>
        <sz val="9.0"/>
      </rPr>
      <t xml:space="preserve"> - компания оплачивает фиксированную сумму от стоимости сессии</t>
    </r>
  </si>
  <si>
    <r>
      <rPr>
        <rFont val="Montserrat"/>
        <b/>
        <color rgb="FF434343"/>
        <sz val="9.0"/>
      </rPr>
      <t xml:space="preserve">Прямой </t>
    </r>
    <r>
      <rPr>
        <rFont val="Montserrat"/>
        <color rgb="FF434343"/>
        <sz val="9.0"/>
      </rPr>
      <t xml:space="preserve"> - не нужно делать дополнительные шаги для активации скидки
</t>
    </r>
    <r>
      <rPr>
        <rFont val="Montserrat"/>
        <b/>
        <color rgb="FF434343"/>
        <sz val="9.0"/>
      </rPr>
      <t xml:space="preserve">Непрямой </t>
    </r>
    <r>
      <rPr>
        <rFont val="Montserrat"/>
        <color rgb="FF434343"/>
        <sz val="9.0"/>
      </rPr>
      <t>- для получения скидки нужно обратиться к HR или заполнить форму</t>
    </r>
  </si>
  <si>
    <r>
      <rPr>
        <rFont val="Montserrat"/>
        <b/>
        <color rgb="FFFFFFFF"/>
        <sz val="11.0"/>
      </rPr>
      <t xml:space="preserve">Лимит сессий в месяц 
</t>
    </r>
    <r>
      <rPr>
        <rFont val="Montserrat"/>
        <b val="0"/>
        <i/>
        <color rgb="FFFFFFFF"/>
        <sz val="10.0"/>
      </rPr>
      <t>Максимальное количество сессий от компании в месяц на одного сотрудника</t>
    </r>
  </si>
  <si>
    <r>
      <rPr>
        <rFont val="Montserrat"/>
        <b/>
        <color rgb="FF434343"/>
        <sz val="11.0"/>
      </rPr>
      <t>1 сессия в месяц</t>
    </r>
    <r>
      <rPr>
        <rFont val="Montserrat"/>
        <color rgb="FF434343"/>
        <sz val="10.0"/>
      </rPr>
      <t xml:space="preserve">
</t>
    </r>
    <r>
      <rPr>
        <rFont val="Montserrat"/>
        <i/>
        <color rgb="FF434343"/>
        <sz val="9.0"/>
      </rPr>
      <t>Может восприниматься, как номинальный бенефит. Это влияет на вовлечённость: часть сотрудников не начнет пользоваться</t>
    </r>
  </si>
  <si>
    <r>
      <rPr>
        <rFont val="Montserrat"/>
        <b/>
        <color rgb="FF434343"/>
        <sz val="11.0"/>
      </rPr>
      <t>2 или 3 сессии в месяц</t>
    </r>
    <r>
      <rPr>
        <rFont val="Montserrat"/>
        <color rgb="FF434343"/>
        <sz val="10.0"/>
      </rPr>
      <t xml:space="preserve">
</t>
    </r>
    <r>
      <rPr>
        <rFont val="Montserrat"/>
        <i/>
        <color rgb="FF434343"/>
        <sz val="9.0"/>
      </rPr>
      <t>Комфортный ритм для пользователей. Ср. кол-во сессий на пользователя в мес. составляет 3</t>
    </r>
  </si>
  <si>
    <r>
      <rPr>
        <rFont val="Montserrat"/>
        <b/>
        <color rgb="FF434343"/>
        <sz val="11.0"/>
      </rPr>
      <t xml:space="preserve">4 и более сессии в месяц
</t>
    </r>
    <r>
      <rPr>
        <rFont val="Montserrat"/>
        <b val="0"/>
        <i/>
        <color rgb="FF434343"/>
        <sz val="9.0"/>
      </rPr>
      <t>Дают сотруднику возможность полноценно работать над запросом, а программа принесет максимальную пользу</t>
    </r>
  </si>
  <si>
    <t>другие списки</t>
  </si>
  <si>
    <t>Компания оплачивает долю от стоимости сессии</t>
  </si>
  <si>
    <t>фиксированный 2800</t>
  </si>
  <si>
    <t>Фиксированная сумма от стоимости сессии. Если стоимость сессии окажется ниже, компания оплачивает только фактическую стоимость. Остаток сверх фиксированной суммы сотрудник доплачивает самостоятельно.
Например: компенсация 3000 рублей. Сессия стоит 2400 рублей- компания платит 2400 рублей. Сессия стоит 3500 рублей -  компания платит 3000 рублей, сотрудник доплачивает 500 рублей.</t>
  </si>
  <si>
    <t>Непрямой доступ</t>
  </si>
  <si>
    <t>нефикс с ограничен выдачи (без дорогих)</t>
  </si>
  <si>
    <t>Индивидуальный</t>
  </si>
  <si>
    <t>нефикс без ограничений (все психологи)</t>
  </si>
  <si>
    <t>Категория</t>
  </si>
  <si>
    <t>10-50</t>
  </si>
  <si>
    <t>60-150</t>
  </si>
  <si>
    <t>250+</t>
  </si>
  <si>
    <t>Grand Total</t>
  </si>
  <si>
    <t>Категория 1</t>
  </si>
  <si>
    <t>Категория 2</t>
  </si>
  <si>
    <t>Категория 3</t>
  </si>
  <si>
    <t>Категория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</si>
</sst>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sz val="9.0"/>
      <color rgb="FF434343"/>
      <name val="Montserrat"/>
    </font>
    <font/>
    <font>
      <sz val="9.0"/>
      <color theme="1"/>
      <name val="Arial"/>
      <scheme val="minor"/>
    </font>
    <font>
      <b/>
      <sz val="11.0"/>
      <color rgb="FF666666"/>
      <name val="Montserrat"/>
    </font>
    <font>
      <sz val="9.0"/>
      <color theme="1"/>
      <name val="Montserrat"/>
    </font>
    <font>
      <b/>
      <sz val="12.0"/>
      <color rgb="FF29B981"/>
      <name val="Montserrat"/>
    </font>
    <font>
      <sz val="10.0"/>
      <color rgb="FF434343"/>
      <name val="Montserrat"/>
    </font>
    <font>
      <sz val="11.0"/>
      <color rgb="FF434343"/>
      <name val="Montserrat"/>
    </font>
    <font>
      <b/>
      <sz val="11.0"/>
      <color rgb="FF434343"/>
      <name val="Montserrat"/>
    </font>
    <font>
      <color theme="1"/>
      <name val="Arial"/>
    </font>
    <font>
      <b/>
      <sz val="14.0"/>
      <color rgb="FF000000"/>
      <name val="Montserrat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29B981"/>
      <name val="Montserrat"/>
    </font>
    <font>
      <b/>
      <sz val="10.0"/>
      <color rgb="FF000000"/>
      <name val="Montserrat"/>
    </font>
    <font>
      <b/>
      <sz val="10.0"/>
      <color rgb="FF434343"/>
      <name val="Montserrat"/>
    </font>
    <font>
      <sz val="12.0"/>
      <color rgb="FF000000"/>
      <name val="Calibri"/>
    </font>
    <font>
      <b/>
      <sz val="10.0"/>
      <color rgb="FFFFFFFF"/>
      <name val="Montserrat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i/>
      <color rgb="FF98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9B981"/>
        <bgColor rgb="FF29B981"/>
      </patternFill>
    </fill>
    <fill>
      <patternFill patternType="solid">
        <fgColor rgb="FF53C99B"/>
        <bgColor rgb="FF53C99B"/>
      </patternFill>
    </fill>
    <fill>
      <patternFill patternType="solid">
        <fgColor rgb="FFBFC1EE"/>
        <bgColor rgb="FFBFC1E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</fills>
  <borders count="1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CCCCCC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thin">
        <color rgb="FFCCCCCC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9" xfId="0" applyAlignment="1" applyBorder="1" applyFill="1" applyFont="1" applyNumberFormat="1">
      <alignment horizontal="center" readingOrder="0" vertical="center"/>
    </xf>
    <xf borderId="2" fillId="0" fontId="3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3" fontId="2" numFmtId="3" xfId="0" applyAlignment="1" applyBorder="1" applyFill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2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2" fillId="3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9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3" xfId="0" applyAlignment="1" applyBorder="1" applyFont="1" applyNumberFormat="1">
      <alignment horizontal="center" readingOrder="0" shrinkToFit="0" vertical="center" wrapText="1"/>
    </xf>
    <xf borderId="1" fillId="0" fontId="11" numFmtId="3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4" fontId="13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0" fillId="0" fontId="14" numFmtId="0" xfId="0" applyAlignment="1" applyFont="1">
      <alignment horizontal="center" readingOrder="0" shrinkToFit="0" vertical="top" wrapText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8" fillId="4" fontId="20" numFmtId="0" xfId="0" applyAlignment="1" applyBorder="1" applyFont="1">
      <alignment readingOrder="0" vertical="center"/>
    </xf>
    <xf borderId="9" fillId="5" fontId="21" numFmtId="0" xfId="0" applyAlignment="1" applyBorder="1" applyFill="1" applyFont="1">
      <alignment readingOrder="0" vertical="center"/>
    </xf>
    <xf borderId="9" fillId="5" fontId="9" numFmtId="0" xfId="0" applyAlignment="1" applyBorder="1" applyFont="1">
      <alignment horizontal="center" readingOrder="0" vertical="center"/>
    </xf>
    <xf borderId="9" fillId="5" fontId="9" numFmtId="0" xfId="0" applyAlignment="1" applyBorder="1" applyFont="1">
      <alignment readingOrder="0" vertical="center"/>
    </xf>
    <xf borderId="10" fillId="5" fontId="21" numFmtId="0" xfId="0" applyAlignment="1" applyBorder="1" applyFont="1">
      <alignment readingOrder="0" vertical="center"/>
    </xf>
    <xf borderId="10" fillId="5" fontId="9" numFmtId="0" xfId="0" applyAlignment="1" applyBorder="1" applyFont="1">
      <alignment horizontal="center" readingOrder="0" vertical="center"/>
    </xf>
    <xf borderId="10" fillId="5" fontId="9" numFmtId="0" xfId="0" applyAlignment="1" applyBorder="1" applyFont="1">
      <alignment readingOrder="0" vertical="center"/>
    </xf>
    <xf borderId="0" fillId="0" fontId="14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0" fillId="5" fontId="21" numFmtId="0" xfId="0" applyAlignment="1" applyBorder="1" applyFont="1">
      <alignment horizontal="center" readingOrder="0" vertical="center"/>
    </xf>
    <xf borderId="0" fillId="0" fontId="18" numFmtId="0" xfId="0" applyFont="1"/>
    <xf borderId="0" fillId="0" fontId="18" numFmtId="0" xfId="0" applyAlignment="1" applyFont="1">
      <alignment shrinkToFit="0" wrapText="0"/>
    </xf>
    <xf borderId="0" fillId="5" fontId="21" numFmtId="0" xfId="0" applyAlignment="1" applyFont="1">
      <alignment readingOrder="0" vertical="center"/>
    </xf>
    <xf borderId="11" fillId="2" fontId="23" numFmtId="164" xfId="0" applyAlignment="1" applyBorder="1" applyFont="1" applyNumberFormat="1">
      <alignment horizontal="center" readingOrder="0" vertical="center"/>
    </xf>
    <xf borderId="12" fillId="5" fontId="21" numFmtId="0" xfId="0" applyAlignment="1" applyBorder="1" applyFont="1">
      <alignment readingOrder="0" vertical="center"/>
    </xf>
    <xf borderId="13" fillId="0" fontId="24" numFmtId="164" xfId="0" applyAlignment="1" applyBorder="1" applyFont="1" applyNumberFormat="1">
      <alignment horizontal="center"/>
    </xf>
    <xf borderId="0" fillId="0" fontId="16" numFmtId="0" xfId="0" applyAlignment="1" applyFont="1">
      <alignment shrinkToFit="0" wrapText="0"/>
    </xf>
    <xf borderId="0" fillId="0" fontId="16" numFmtId="0" xfId="0" applyAlignment="1" applyFont="1">
      <alignment vertical="center"/>
    </xf>
    <xf borderId="14" fillId="2" fontId="23" numFmtId="3" xfId="0" applyAlignment="1" applyBorder="1" applyFont="1" applyNumberFormat="1">
      <alignment horizontal="center" readingOrder="0" vertical="center"/>
    </xf>
    <xf borderId="6" fillId="5" fontId="21" numFmtId="0" xfId="0" applyAlignment="1" applyBorder="1" applyFont="1">
      <alignment readingOrder="0" vertical="center"/>
    </xf>
    <xf borderId="6" fillId="2" fontId="23" numFmtId="9" xfId="0" applyAlignment="1" applyBorder="1" applyFont="1" applyNumberFormat="1">
      <alignment horizontal="center" readingOrder="0" vertical="center"/>
    </xf>
    <xf borderId="0" fillId="5" fontId="21" numFmtId="0" xfId="0" applyAlignment="1" applyFont="1">
      <alignment horizontal="center" readingOrder="0" vertical="center"/>
    </xf>
    <xf borderId="12" fillId="0" fontId="18" numFmtId="0" xfId="0" applyAlignment="1" applyBorder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2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5" fillId="0" fontId="25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/>
    </xf>
    <xf borderId="1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 vertical="center"/>
    </xf>
    <xf borderId="15" fillId="0" fontId="26" numFmtId="0" xfId="0" applyAlignment="1" applyBorder="1" applyFont="1">
      <alignment horizontal="center" readingOrder="0" shrinkToFit="0" vertical="center" wrapText="1"/>
    </xf>
    <xf borderId="15" fillId="0" fontId="25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center" readingOrder="0" shrinkToFit="0" wrapText="1"/>
    </xf>
    <xf borderId="0" fillId="7" fontId="1" numFmtId="0" xfId="0" applyAlignment="1" applyFont="1">
      <alignment horizontal="center" readingOrder="0" shrinkToFit="0" vertical="center" wrapText="1"/>
    </xf>
    <xf borderId="0" fillId="3" fontId="2" numFmtId="3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vertical="center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8E4B6"/>
          <bgColor rgb="FFF8E4B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6</xdr:row>
      <xdr:rowOff>133350</xdr:rowOff>
    </xdr:from>
    <xdr:ext cx="1743075" cy="5715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88"/>
    <col customWidth="1" min="2" max="5" width="21.5"/>
    <col customWidth="1" min="6" max="8" width="20.38"/>
    <col customWidth="1" min="9" max="9" width="21.25"/>
    <col customWidth="1" min="10" max="10" width="42.75"/>
  </cols>
  <sheetData>
    <row r="1">
      <c r="B1" s="1"/>
    </row>
    <row r="2">
      <c r="A2" s="2" t="s">
        <v>0</v>
      </c>
      <c r="B2" s="3" t="s">
        <v>1</v>
      </c>
      <c r="C2" s="4"/>
      <c r="D2" s="5"/>
      <c r="E2" s="6">
        <v>500.0</v>
      </c>
      <c r="F2" s="7" t="s">
        <v>2</v>
      </c>
      <c r="G2" s="8"/>
      <c r="H2" s="9"/>
      <c r="I2" s="9"/>
      <c r="J2" s="9"/>
    </row>
    <row r="3">
      <c r="A3" s="2" t="s">
        <v>3</v>
      </c>
      <c r="B3" s="3" t="s">
        <v>4</v>
      </c>
      <c r="C3" s="4"/>
      <c r="D3" s="5"/>
      <c r="E3" s="10" t="s">
        <v>5</v>
      </c>
      <c r="F3" s="11" t="str">
        <f>HLOOKUP(E3,'___'!$B$32:$D$38,7,0)</f>
        <v>Все форматы терапии, доступ к 80% психологов сервиса
Вы готовы запустить полноценную программу поддержки при контролируемом бюджете</v>
      </c>
      <c r="I3" s="9"/>
      <c r="J3" s="9"/>
    </row>
    <row r="4">
      <c r="A4" s="2" t="s">
        <v>6</v>
      </c>
      <c r="B4" s="3" t="s">
        <v>7</v>
      </c>
      <c r="C4" s="4"/>
      <c r="D4" s="5"/>
      <c r="E4" s="10" t="s">
        <v>8</v>
      </c>
      <c r="F4" s="12"/>
      <c r="G4" s="9"/>
      <c r="H4" s="9"/>
      <c r="I4" s="9"/>
      <c r="J4" s="9"/>
    </row>
    <row r="5">
      <c r="A5" s="2" t="s">
        <v>9</v>
      </c>
      <c r="B5" s="3" t="s">
        <v>10</v>
      </c>
      <c r="C5" s="4"/>
      <c r="D5" s="5"/>
      <c r="E5" s="13">
        <v>3500.0</v>
      </c>
      <c r="F5" s="14" t="str">
        <f>IF(OR(AND(E4="Процент",E5&gt;1),AND(E4&lt;&gt;"Процент",E5&lt;2)),
   "Выберите правильный размер компенсации",
   IF(AND(E4&lt;&gt;"Процент",E5&lt;2499,E3='___'!$B$32),
             "⚠️ Низкая компенсация снижает вовлечённость. По данным Alter, при покрытии менее 2500 р. утилизация бенефита падает в среднем 2 раза",
 IF(AND(E4&lt;&gt;"Процент",E5&gt;=2500,E3='___'!$B$32),"✅ Оптимальный вариант. Финансовый барьер для сотрудника минимален - больше сотрудников воспользуются бенефитом и получат реальную поддержку",
IF(AND(E4&lt;&gt;"Процент",E5&lt;1999,E3='___'!$C$32),
             "⚠️ Низкая компенсация снижает вовлечённость. По данным Alter, при покрытии менее 2000 р. утилизация бенефита падает в среднем в 2 раза",
IF(AND(E4&lt;&gt;"Процент",E5&gt;=2000,E3='___'!$C$32),"✅ Оптимальный вариант. Финансовый барьер для сотрудника минимален - больше сотрудников воспользуются бенефитом и получат реальную поддержку",
             IF(E4&lt;&gt;"Процент",
               "",
               IF(E5=0.3,
                  "⚠️ Низкая компенсация. При покрытии до 50% большинство сотрудников воспринимают бенефит как номинальный и не пользуются им.",
                IF(E5=0.5,
                  "Сотрудник оплачивает половину стоимости сессии самостоятельно. Финансовая нагрузка может стать причиной, по которой часть сотрудников не воспользуется бенефитом или быстро перестанет ходить.",
                     "✅ Оптимальный вариант. Финансовый барьер для сотрудника минимален - больше сотрудников воспользуются бенефитом и получат реальную поддержку.")
               )
             )
    )
))))</f>
        <v>✅ Оптимальный вариант. Финансовый барьер для сотрудника минимален - больше сотрудников воспользуются бенефитом и получат реальную поддержку</v>
      </c>
      <c r="I5" s="9"/>
      <c r="J5" s="9"/>
    </row>
    <row r="6">
      <c r="A6" s="2" t="s">
        <v>11</v>
      </c>
      <c r="B6" s="3" t="s">
        <v>12</v>
      </c>
      <c r="C6" s="4"/>
      <c r="D6" s="5"/>
      <c r="E6" s="10" t="s">
        <v>13</v>
      </c>
      <c r="F6" s="14" t="str">
        <f>IF(E6='___'!C83,"⚠️ Дополнительный барьер снижает активацию. По данным Alter, при непрямом доступе бенефитом воспользуется в 3 раза меньше сотрудников. Рекомендуем прямой доступ - так больше сотрудников воспользуются бенефитом, и программа принесёт реальный результат.","")</f>
        <v/>
      </c>
      <c r="I6" s="9"/>
      <c r="J6" s="9"/>
    </row>
    <row r="7">
      <c r="B7" s="1"/>
    </row>
    <row r="8">
      <c r="B8" s="1"/>
    </row>
    <row r="9">
      <c r="B9" s="1"/>
    </row>
    <row r="10">
      <c r="A10" s="15" t="s">
        <v>14</v>
      </c>
    </row>
    <row r="11">
      <c r="A11" s="16" t="s">
        <v>15</v>
      </c>
      <c r="B11" s="16" t="s">
        <v>16</v>
      </c>
      <c r="C11" s="16" t="s">
        <v>17</v>
      </c>
      <c r="D11" s="16" t="s">
        <v>18</v>
      </c>
      <c r="E11" s="16" t="s">
        <v>19</v>
      </c>
      <c r="F11" s="16" t="s">
        <v>20</v>
      </c>
      <c r="G11" s="16" t="s">
        <v>21</v>
      </c>
      <c r="H11" s="16" t="s">
        <v>22</v>
      </c>
    </row>
    <row r="12">
      <c r="A12" s="17" t="s">
        <v>23</v>
      </c>
      <c r="B12" s="18">
        <f>'___'!B74</f>
        <v>0.03</v>
      </c>
      <c r="C12" s="19">
        <f>'___'!C74</f>
        <v>15</v>
      </c>
      <c r="D12" s="19">
        <f>'___'!D74</f>
        <v>5</v>
      </c>
      <c r="E12" s="19">
        <f>'___'!E74</f>
        <v>75</v>
      </c>
      <c r="F12" s="20">
        <f>'___'!F74</f>
        <v>3500</v>
      </c>
      <c r="G12" s="20">
        <f t="shared" ref="G12:G14" si="1">H12/12</f>
        <v>21875</v>
      </c>
      <c r="H12" s="21">
        <f>'___'!G74</f>
        <v>262500</v>
      </c>
    </row>
    <row r="13">
      <c r="A13" s="17" t="s">
        <v>24</v>
      </c>
      <c r="B13" s="18">
        <f>'___'!B75</f>
        <v>0.05</v>
      </c>
      <c r="C13" s="19">
        <f>'___'!C75</f>
        <v>25</v>
      </c>
      <c r="D13" s="19">
        <f>'___'!D75</f>
        <v>7</v>
      </c>
      <c r="E13" s="19">
        <f>'___'!E75</f>
        <v>175</v>
      </c>
      <c r="F13" s="20">
        <f>'___'!F75</f>
        <v>3500</v>
      </c>
      <c r="G13" s="20">
        <f t="shared" si="1"/>
        <v>51041.66667</v>
      </c>
      <c r="H13" s="21">
        <f>'___'!G75</f>
        <v>612500</v>
      </c>
    </row>
    <row r="14">
      <c r="A14" s="22" t="s">
        <v>25</v>
      </c>
      <c r="B14" s="18">
        <f>'___'!B76</f>
        <v>0.13</v>
      </c>
      <c r="C14" s="19">
        <f>'___'!C76</f>
        <v>65</v>
      </c>
      <c r="D14" s="19">
        <f>'___'!D76</f>
        <v>12</v>
      </c>
      <c r="E14" s="19">
        <f>'___'!E76</f>
        <v>780</v>
      </c>
      <c r="F14" s="20">
        <f>'___'!F76</f>
        <v>3500</v>
      </c>
      <c r="G14" s="20">
        <f t="shared" si="1"/>
        <v>227500</v>
      </c>
      <c r="H14" s="21">
        <f>'___'!G76</f>
        <v>2730000</v>
      </c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23"/>
      <c r="C22" s="24"/>
      <c r="D22" s="24"/>
      <c r="E22" s="24"/>
      <c r="F22" s="24"/>
      <c r="G22" s="25"/>
      <c r="H22" s="25"/>
      <c r="I22" s="24"/>
      <c r="J22" s="24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</sheetData>
  <mergeCells count="8">
    <mergeCell ref="B2:D2"/>
    <mergeCell ref="B3:D3"/>
    <mergeCell ref="F3:H3"/>
    <mergeCell ref="B4:D4"/>
    <mergeCell ref="B5:D5"/>
    <mergeCell ref="F5:H5"/>
    <mergeCell ref="B6:D6"/>
    <mergeCell ref="F6:H6"/>
  </mergeCells>
  <conditionalFormatting sqref="F2 F5:F6">
    <cfRule type="notContainsBlanks" dxfId="0" priority="1">
      <formula>LEN(TRIM(F2))&gt;0</formula>
    </cfRule>
  </conditionalFormatting>
  <dataValidations>
    <dataValidation type="list" allowBlank="1" showErrorMessage="1" sqref="E3">
      <formula1>'___'!$E$82:$E$83</formula1>
    </dataValidation>
    <dataValidation type="list" allowBlank="1" showErrorMessage="1" sqref="E4">
      <formula1>'___'!$A$82:$A$83</formula1>
    </dataValidation>
    <dataValidation type="list" allowBlank="1" showErrorMessage="1" sqref="E6">
      <formula1>'___'!$C$82:$C$83</formula1>
    </dataValidation>
    <dataValidation type="list" allowBlank="1" showErrorMessage="1" sqref="E5">
      <formula1>'___'!$D$4:$D$15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63"/>
    <col customWidth="1" min="2" max="2" width="23.38"/>
    <col customWidth="1" min="3" max="3" width="98.25"/>
    <col customWidth="1" min="4" max="4" width="24.38"/>
    <col customWidth="1" min="5" max="5" width="9.88"/>
    <col customWidth="1" min="6" max="6" width="23.63"/>
    <col customWidth="1" min="7" max="7" width="20.25"/>
    <col customWidth="1" min="8" max="8" width="17.25"/>
  </cols>
  <sheetData>
    <row r="1" ht="27.0" customHeight="1">
      <c r="A1" s="26" t="s">
        <v>26</v>
      </c>
      <c r="B1" s="27"/>
      <c r="C1" s="28"/>
      <c r="D1" s="29"/>
      <c r="E1" s="29"/>
      <c r="F1" s="29"/>
      <c r="G1" s="29"/>
      <c r="H1" s="30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2"/>
      <c r="B2" s="33"/>
      <c r="C2" s="29"/>
      <c r="D2" s="29"/>
      <c r="E2" s="29"/>
      <c r="F2" s="29"/>
      <c r="G2" s="29"/>
      <c r="H2" s="30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4" t="s">
        <v>27</v>
      </c>
      <c r="B3" s="33"/>
      <c r="C3" s="29"/>
      <c r="D3" s="29"/>
      <c r="E3" s="29"/>
      <c r="F3" s="29"/>
      <c r="G3" s="29"/>
      <c r="H3" s="30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2"/>
      <c r="B4" s="33"/>
      <c r="C4" s="29"/>
      <c r="D4" s="29"/>
      <c r="E4" s="29"/>
      <c r="F4" s="29"/>
      <c r="G4" s="29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8.75" customHeight="1">
      <c r="A5" s="35" t="s">
        <v>28</v>
      </c>
      <c r="B5" s="35" t="s">
        <v>29</v>
      </c>
      <c r="C5" s="35" t="s">
        <v>30</v>
      </c>
      <c r="D5" s="29"/>
      <c r="E5" s="29"/>
      <c r="F5" s="29"/>
      <c r="G5" s="29"/>
      <c r="H5" s="30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30.75" customHeight="1">
      <c r="A6" s="36" t="s">
        <v>31</v>
      </c>
      <c r="B6" s="37" t="s">
        <v>32</v>
      </c>
      <c r="C6" s="38" t="s">
        <v>33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30.75" customHeight="1">
      <c r="A7" s="39" t="s">
        <v>34</v>
      </c>
      <c r="B7" s="40" t="s">
        <v>35</v>
      </c>
      <c r="C7" s="41" t="s">
        <v>36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30.75" customHeight="1">
      <c r="A8" s="39" t="s">
        <v>37</v>
      </c>
      <c r="B8" s="40" t="s">
        <v>35</v>
      </c>
      <c r="C8" s="41" t="s">
        <v>38</v>
      </c>
      <c r="D8" s="42"/>
      <c r="E8" s="43"/>
      <c r="F8" s="42"/>
      <c r="G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30.75" customHeight="1">
      <c r="A9" s="39" t="s">
        <v>39</v>
      </c>
      <c r="B9" s="40" t="s">
        <v>40</v>
      </c>
      <c r="C9" s="41" t="s">
        <v>41</v>
      </c>
      <c r="D9" s="43"/>
      <c r="E9" s="43"/>
      <c r="F9" s="43"/>
      <c r="G9" s="42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ht="30.75" customHeight="1">
      <c r="A10" s="39" t="s">
        <v>42</v>
      </c>
      <c r="B10" s="40" t="s">
        <v>43</v>
      </c>
      <c r="C10" s="41" t="s">
        <v>44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ht="30.75" customHeight="1">
      <c r="A11" s="39" t="s">
        <v>45</v>
      </c>
      <c r="B11" s="44" t="s">
        <v>46</v>
      </c>
      <c r="C11" s="41"/>
      <c r="D11" s="31"/>
      <c r="E11" s="31"/>
      <c r="F11" s="31"/>
      <c r="G11" s="31"/>
      <c r="H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45"/>
      <c r="B12" s="45"/>
      <c r="C12" s="46"/>
      <c r="D12" s="31"/>
      <c r="E12" s="31"/>
      <c r="F12" s="31"/>
      <c r="G12" s="31"/>
      <c r="H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47" t="s">
        <v>47</v>
      </c>
      <c r="B13" s="48">
        <v>100000.0</v>
      </c>
      <c r="C13" s="46"/>
      <c r="D13" s="31"/>
      <c r="E13" s="31"/>
      <c r="F13" s="31"/>
      <c r="G13" s="31"/>
      <c r="H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49" t="s">
        <v>48</v>
      </c>
      <c r="B14" s="50">
        <f>B13*3.35</f>
        <v>335000</v>
      </c>
      <c r="C14" s="47" t="s">
        <v>49</v>
      </c>
      <c r="D14" s="31"/>
      <c r="E14" s="31"/>
      <c r="F14" s="31"/>
      <c r="G14" s="31"/>
      <c r="H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B15" s="45"/>
      <c r="C15" s="5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45"/>
      <c r="B16" s="45"/>
      <c r="C16" s="5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28.5" customHeight="1">
      <c r="A17" s="26" t="s">
        <v>50</v>
      </c>
      <c r="B17" s="27"/>
      <c r="C17" s="28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>
      <c r="A18" s="45"/>
      <c r="B18" s="45"/>
      <c r="C18" s="5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22.5" customHeight="1">
      <c r="A19" s="47" t="s">
        <v>51</v>
      </c>
      <c r="B19" s="53">
        <v>100.0</v>
      </c>
      <c r="C19" s="5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22.5" customHeight="1">
      <c r="A20" s="54" t="s">
        <v>52</v>
      </c>
      <c r="B20" s="55">
        <v>0.1</v>
      </c>
      <c r="C20" s="5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22.5" customHeight="1">
      <c r="A21" s="47" t="s">
        <v>53</v>
      </c>
      <c r="B21" s="56">
        <f>B19*B20</f>
        <v>10</v>
      </c>
      <c r="C21" s="5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>
      <c r="A22" s="57" t="s">
        <v>54</v>
      </c>
      <c r="B22" s="50">
        <f>B21*B14</f>
        <v>3350000</v>
      </c>
      <c r="C22" s="47" t="s">
        <v>55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>
      <c r="A23" s="45"/>
      <c r="B23" s="45"/>
      <c r="C23" s="5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>
      <c r="A24" s="45"/>
      <c r="B24" s="45"/>
      <c r="C24" s="5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45"/>
      <c r="B25" s="45"/>
      <c r="C25" s="5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>
      <c r="A26" s="45"/>
      <c r="B26" s="45"/>
      <c r="C26" s="5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45"/>
      <c r="B27" s="45"/>
      <c r="C27" s="5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45"/>
      <c r="B28" s="45"/>
      <c r="C28" s="5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45"/>
      <c r="B29" s="45"/>
      <c r="C29" s="5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>
      <c r="A30" s="45"/>
      <c r="B30" s="45"/>
      <c r="C30" s="5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45"/>
      <c r="B31" s="45"/>
      <c r="C31" s="5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45"/>
      <c r="B32" s="45"/>
      <c r="C32" s="5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45"/>
      <c r="B33" s="45"/>
      <c r="C33" s="5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>
      <c r="A34" s="45"/>
      <c r="B34" s="45"/>
      <c r="C34" s="5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>
      <c r="A35" s="45"/>
      <c r="B35" s="45"/>
      <c r="C35" s="5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>
      <c r="A36" s="45"/>
      <c r="B36" s="45"/>
      <c r="C36" s="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>
      <c r="A37" s="45"/>
      <c r="B37" s="45"/>
      <c r="C37" s="5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>
      <c r="A38" s="45"/>
      <c r="B38" s="45"/>
      <c r="C38" s="5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>
      <c r="A39" s="45"/>
      <c r="B39" s="45"/>
      <c r="C39" s="5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>
      <c r="A40" s="45"/>
      <c r="B40" s="45"/>
      <c r="C40" s="5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>
      <c r="A41" s="45"/>
      <c r="B41" s="45"/>
      <c r="C41" s="5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45"/>
      <c r="B42" s="45"/>
      <c r="C42" s="5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>
      <c r="A43" s="45"/>
      <c r="B43" s="45"/>
      <c r="C43" s="5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45"/>
      <c r="B44" s="45"/>
      <c r="C44" s="5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45"/>
      <c r="B45" s="45"/>
      <c r="C45" s="5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>
      <c r="A46" s="45"/>
      <c r="B46" s="45"/>
      <c r="C46" s="5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45"/>
      <c r="B47" s="45"/>
      <c r="C47" s="5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>
      <c r="A48" s="45"/>
      <c r="B48" s="45"/>
      <c r="C48" s="5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>
      <c r="A49" s="45"/>
      <c r="B49" s="45"/>
      <c r="C49" s="5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>
      <c r="A50" s="45"/>
      <c r="B50" s="45"/>
      <c r="C50" s="5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>
      <c r="A51" s="45"/>
      <c r="B51" s="45"/>
      <c r="C51" s="5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>
      <c r="A52" s="45"/>
      <c r="B52" s="45"/>
      <c r="C52" s="5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>
      <c r="A53" s="45"/>
      <c r="B53" s="45"/>
      <c r="C53" s="5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>
      <c r="A54" s="45"/>
      <c r="B54" s="45"/>
      <c r="C54" s="5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>
      <c r="A55" s="45"/>
      <c r="B55" s="45"/>
      <c r="C55" s="5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>
      <c r="A56" s="45"/>
      <c r="B56" s="45"/>
      <c r="C56" s="5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45"/>
      <c r="B57" s="45"/>
      <c r="C57" s="5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>
      <c r="A58" s="45"/>
      <c r="B58" s="45"/>
      <c r="C58" s="5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>
      <c r="A59" s="45"/>
      <c r="B59" s="45"/>
      <c r="C59" s="5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>
      <c r="A60" s="45"/>
      <c r="B60" s="45"/>
      <c r="C60" s="5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>
      <c r="A61" s="45"/>
      <c r="B61" s="45"/>
      <c r="C61" s="5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45"/>
      <c r="B62" s="45"/>
      <c r="C62" s="5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45"/>
      <c r="B63" s="45"/>
      <c r="C63" s="5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45"/>
      <c r="B64" s="45"/>
      <c r="C64" s="5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45"/>
      <c r="B65" s="45"/>
      <c r="C65" s="5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45"/>
      <c r="B66" s="45"/>
      <c r="C66" s="5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45"/>
      <c r="B67" s="45"/>
      <c r="C67" s="5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45"/>
      <c r="B68" s="45"/>
      <c r="C68" s="5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45"/>
      <c r="B69" s="45"/>
      <c r="C69" s="5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45"/>
      <c r="B70" s="45"/>
      <c r="C70" s="5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45"/>
      <c r="B71" s="45"/>
      <c r="C71" s="5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45"/>
      <c r="B72" s="45"/>
      <c r="C72" s="5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45"/>
      <c r="B73" s="45"/>
      <c r="C73" s="5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45"/>
      <c r="B74" s="45"/>
      <c r="C74" s="5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45"/>
      <c r="B75" s="45"/>
      <c r="C75" s="5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45"/>
      <c r="B76" s="45"/>
      <c r="C76" s="5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45"/>
      <c r="B77" s="45"/>
      <c r="C77" s="5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45"/>
      <c r="B78" s="45"/>
      <c r="C78" s="5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45"/>
      <c r="B79" s="45"/>
      <c r="C79" s="5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45"/>
      <c r="B80" s="45"/>
      <c r="C80" s="5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45"/>
      <c r="B81" s="45"/>
      <c r="C81" s="5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45"/>
      <c r="B82" s="45"/>
      <c r="C82" s="5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45"/>
      <c r="B83" s="45"/>
      <c r="C83" s="5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45"/>
      <c r="B84" s="45"/>
      <c r="C84" s="5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45"/>
      <c r="B85" s="45"/>
      <c r="C85" s="5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45"/>
      <c r="B86" s="45"/>
      <c r="C86" s="5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45"/>
      <c r="B87" s="45"/>
      <c r="C87" s="5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45"/>
      <c r="B88" s="45"/>
      <c r="C88" s="5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45"/>
      <c r="B89" s="45"/>
      <c r="C89" s="5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45"/>
      <c r="B90" s="45"/>
      <c r="C90" s="5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45"/>
      <c r="B91" s="45"/>
      <c r="C91" s="5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45"/>
      <c r="B92" s="45"/>
      <c r="C92" s="5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45"/>
      <c r="B93" s="45"/>
      <c r="C93" s="5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45"/>
      <c r="B94" s="45"/>
      <c r="C94" s="5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45"/>
      <c r="B95" s="45"/>
      <c r="C95" s="5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45"/>
      <c r="B96" s="45"/>
      <c r="C96" s="5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45"/>
      <c r="B97" s="45"/>
      <c r="C97" s="5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45"/>
      <c r="B98" s="45"/>
      <c r="C98" s="5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45"/>
      <c r="B99" s="45"/>
      <c r="C99" s="5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45"/>
      <c r="B100" s="45"/>
      <c r="C100" s="5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45"/>
      <c r="B101" s="45"/>
      <c r="C101" s="5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45"/>
      <c r="B102" s="45"/>
      <c r="C102" s="5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45"/>
      <c r="B103" s="45"/>
      <c r="C103" s="5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45"/>
      <c r="B104" s="45"/>
      <c r="C104" s="5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45"/>
      <c r="B105" s="45"/>
      <c r="C105" s="5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45"/>
      <c r="B106" s="45"/>
      <c r="C106" s="5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45"/>
      <c r="B107" s="45"/>
      <c r="C107" s="5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45"/>
      <c r="B108" s="45"/>
      <c r="C108" s="5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45"/>
      <c r="B109" s="45"/>
      <c r="C109" s="5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45"/>
      <c r="B110" s="45"/>
      <c r="C110" s="5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45"/>
      <c r="B111" s="45"/>
      <c r="C111" s="5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45"/>
      <c r="B112" s="45"/>
      <c r="C112" s="5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45"/>
      <c r="B113" s="45"/>
      <c r="C113" s="5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45"/>
      <c r="B114" s="45"/>
      <c r="C114" s="5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45"/>
      <c r="B115" s="45"/>
      <c r="C115" s="5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45"/>
      <c r="B116" s="45"/>
      <c r="C116" s="5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45"/>
      <c r="B117" s="45"/>
      <c r="C117" s="5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45"/>
      <c r="B118" s="45"/>
      <c r="C118" s="5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45"/>
      <c r="B119" s="45"/>
      <c r="C119" s="5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45"/>
      <c r="B120" s="45"/>
      <c r="C120" s="5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45"/>
      <c r="B121" s="45"/>
      <c r="C121" s="5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45"/>
      <c r="B122" s="45"/>
      <c r="C122" s="5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45"/>
      <c r="B123" s="45"/>
      <c r="C123" s="5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45"/>
      <c r="B124" s="45"/>
      <c r="C124" s="5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45"/>
      <c r="B125" s="45"/>
      <c r="C125" s="5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45"/>
      <c r="B126" s="45"/>
      <c r="C126" s="5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45"/>
      <c r="B127" s="45"/>
      <c r="C127" s="5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45"/>
      <c r="B128" s="45"/>
      <c r="C128" s="5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45"/>
      <c r="B129" s="45"/>
      <c r="C129" s="5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45"/>
      <c r="B130" s="45"/>
      <c r="C130" s="5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45"/>
      <c r="B131" s="45"/>
      <c r="C131" s="5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45"/>
      <c r="B132" s="45"/>
      <c r="C132" s="5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45"/>
      <c r="B133" s="45"/>
      <c r="C133" s="5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45"/>
      <c r="B134" s="45"/>
      <c r="C134" s="5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45"/>
      <c r="B135" s="45"/>
      <c r="C135" s="5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45"/>
      <c r="B136" s="45"/>
      <c r="C136" s="5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45"/>
      <c r="B137" s="45"/>
      <c r="C137" s="5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45"/>
      <c r="B138" s="45"/>
      <c r="C138" s="5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45"/>
      <c r="B139" s="45"/>
      <c r="C139" s="5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45"/>
      <c r="B140" s="45"/>
      <c r="C140" s="5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45"/>
      <c r="B141" s="45"/>
      <c r="C141" s="5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45"/>
      <c r="B142" s="45"/>
      <c r="C142" s="5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45"/>
      <c r="B143" s="45"/>
      <c r="C143" s="5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45"/>
      <c r="B144" s="45"/>
      <c r="C144" s="5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45"/>
      <c r="B145" s="45"/>
      <c r="C145" s="5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45"/>
      <c r="B146" s="45"/>
      <c r="C146" s="5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45"/>
      <c r="B147" s="45"/>
      <c r="C147" s="5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45"/>
      <c r="B148" s="45"/>
      <c r="C148" s="5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45"/>
      <c r="B149" s="45"/>
      <c r="C149" s="5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45"/>
      <c r="B150" s="45"/>
      <c r="C150" s="5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45"/>
      <c r="B151" s="45"/>
      <c r="C151" s="5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45"/>
      <c r="B152" s="45"/>
      <c r="C152" s="5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45"/>
      <c r="B153" s="45"/>
      <c r="C153" s="5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45"/>
      <c r="B154" s="45"/>
      <c r="C154" s="5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45"/>
      <c r="B155" s="45"/>
      <c r="C155" s="5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45"/>
      <c r="B156" s="45"/>
      <c r="C156" s="5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45"/>
      <c r="B157" s="45"/>
      <c r="C157" s="5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45"/>
      <c r="B158" s="45"/>
      <c r="C158" s="5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45"/>
      <c r="B159" s="45"/>
      <c r="C159" s="5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45"/>
      <c r="B160" s="45"/>
      <c r="C160" s="5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45"/>
      <c r="B161" s="45"/>
      <c r="C161" s="5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45"/>
      <c r="B162" s="45"/>
      <c r="C162" s="5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45"/>
      <c r="B163" s="45"/>
      <c r="C163" s="5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45"/>
      <c r="B164" s="45"/>
      <c r="C164" s="5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45"/>
      <c r="B165" s="45"/>
      <c r="C165" s="5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45"/>
      <c r="B166" s="45"/>
      <c r="C166" s="5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45"/>
      <c r="B167" s="45"/>
      <c r="C167" s="5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45"/>
      <c r="B168" s="45"/>
      <c r="C168" s="5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45"/>
      <c r="B169" s="45"/>
      <c r="C169" s="5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45"/>
      <c r="B170" s="45"/>
      <c r="C170" s="5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45"/>
      <c r="B171" s="45"/>
      <c r="C171" s="5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45"/>
      <c r="B172" s="45"/>
      <c r="C172" s="5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45"/>
      <c r="B173" s="45"/>
      <c r="C173" s="5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45"/>
      <c r="B174" s="45"/>
      <c r="C174" s="5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45"/>
      <c r="B175" s="45"/>
      <c r="C175" s="5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45"/>
      <c r="B176" s="45"/>
      <c r="C176" s="5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45"/>
      <c r="B177" s="45"/>
      <c r="C177" s="5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45"/>
      <c r="B178" s="45"/>
      <c r="C178" s="5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45"/>
      <c r="B179" s="45"/>
      <c r="C179" s="5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45"/>
      <c r="B180" s="45"/>
      <c r="C180" s="5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45"/>
      <c r="B181" s="45"/>
      <c r="C181" s="5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45"/>
      <c r="B182" s="45"/>
      <c r="C182" s="5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45"/>
      <c r="B183" s="45"/>
      <c r="C183" s="5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45"/>
      <c r="B184" s="45"/>
      <c r="C184" s="5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45"/>
      <c r="B185" s="45"/>
      <c r="C185" s="5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45"/>
      <c r="B186" s="45"/>
      <c r="C186" s="5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45"/>
      <c r="B187" s="45"/>
      <c r="C187" s="5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45"/>
      <c r="B188" s="45"/>
      <c r="C188" s="5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45"/>
      <c r="B189" s="45"/>
      <c r="C189" s="5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45"/>
      <c r="B190" s="45"/>
      <c r="C190" s="5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45"/>
      <c r="B191" s="45"/>
      <c r="C191" s="5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45"/>
      <c r="B192" s="45"/>
      <c r="C192" s="5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45"/>
      <c r="B193" s="45"/>
      <c r="C193" s="5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45"/>
      <c r="B194" s="45"/>
      <c r="C194" s="5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45"/>
      <c r="B195" s="45"/>
      <c r="C195" s="5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45"/>
      <c r="B196" s="45"/>
      <c r="C196" s="5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45"/>
      <c r="B197" s="45"/>
      <c r="C197" s="5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45"/>
      <c r="B198" s="45"/>
      <c r="C198" s="5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45"/>
      <c r="B199" s="45"/>
      <c r="C199" s="5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45"/>
      <c r="B200" s="45"/>
      <c r="C200" s="5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45"/>
      <c r="B201" s="45"/>
      <c r="C201" s="5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45"/>
      <c r="B202" s="45"/>
      <c r="C202" s="5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45"/>
      <c r="B203" s="45"/>
      <c r="C203" s="5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45"/>
      <c r="B204" s="45"/>
      <c r="C204" s="5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45"/>
      <c r="B205" s="45"/>
      <c r="C205" s="5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45"/>
      <c r="B206" s="45"/>
      <c r="C206" s="5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45"/>
      <c r="B207" s="45"/>
      <c r="C207" s="5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45"/>
      <c r="B208" s="45"/>
      <c r="C208" s="5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45"/>
      <c r="B209" s="45"/>
      <c r="C209" s="5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45"/>
      <c r="B210" s="45"/>
      <c r="C210" s="5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45"/>
      <c r="B211" s="45"/>
      <c r="C211" s="5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45"/>
      <c r="B212" s="45"/>
      <c r="C212" s="5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45"/>
      <c r="B213" s="45"/>
      <c r="C213" s="5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45"/>
      <c r="B214" s="45"/>
      <c r="C214" s="5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45"/>
      <c r="B215" s="45"/>
      <c r="C215" s="5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45"/>
      <c r="B216" s="45"/>
      <c r="C216" s="5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45"/>
      <c r="B217" s="45"/>
      <c r="C217" s="5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45"/>
      <c r="B218" s="45"/>
      <c r="C218" s="5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45"/>
      <c r="B219" s="45"/>
      <c r="C219" s="5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45"/>
      <c r="B220" s="45"/>
      <c r="C220" s="5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45"/>
      <c r="B221" s="45"/>
      <c r="C221" s="5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45"/>
      <c r="B222" s="45"/>
      <c r="C222" s="5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45"/>
      <c r="B223" s="45"/>
      <c r="C223" s="5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45"/>
      <c r="B224" s="45"/>
      <c r="C224" s="5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45"/>
      <c r="B225" s="45"/>
      <c r="C225" s="5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45"/>
      <c r="B226" s="45"/>
      <c r="C226" s="5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45"/>
      <c r="B227" s="45"/>
      <c r="C227" s="5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45"/>
      <c r="B228" s="45"/>
      <c r="C228" s="5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45"/>
      <c r="B229" s="45"/>
      <c r="C229" s="5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45"/>
      <c r="B230" s="45"/>
      <c r="C230" s="5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45"/>
      <c r="B231" s="45"/>
      <c r="C231" s="5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45"/>
      <c r="B232" s="45"/>
      <c r="C232" s="5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45"/>
      <c r="B233" s="45"/>
      <c r="C233" s="5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45"/>
      <c r="B234" s="45"/>
      <c r="C234" s="5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45"/>
      <c r="B235" s="45"/>
      <c r="C235" s="5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45"/>
      <c r="B236" s="45"/>
      <c r="C236" s="5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45"/>
      <c r="B237" s="45"/>
      <c r="C237" s="5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45"/>
      <c r="B238" s="45"/>
      <c r="C238" s="5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45"/>
      <c r="B239" s="45"/>
      <c r="C239" s="5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45"/>
      <c r="B240" s="45"/>
      <c r="C240" s="5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45"/>
      <c r="B241" s="45"/>
      <c r="C241" s="5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45"/>
      <c r="B242" s="45"/>
      <c r="C242" s="5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45"/>
      <c r="B243" s="45"/>
      <c r="C243" s="5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45"/>
      <c r="B244" s="45"/>
      <c r="C244" s="5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45"/>
      <c r="B245" s="45"/>
      <c r="C245" s="5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45"/>
      <c r="B246" s="45"/>
      <c r="C246" s="5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45"/>
      <c r="B247" s="45"/>
      <c r="C247" s="5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45"/>
      <c r="B248" s="45"/>
      <c r="C248" s="5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45"/>
      <c r="B249" s="45"/>
      <c r="C249" s="5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45"/>
      <c r="B250" s="45"/>
      <c r="C250" s="5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45"/>
      <c r="B251" s="45"/>
      <c r="C251" s="5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45"/>
      <c r="B252" s="45"/>
      <c r="C252" s="5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45"/>
      <c r="B253" s="45"/>
      <c r="C253" s="5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45"/>
      <c r="B254" s="45"/>
      <c r="C254" s="5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45"/>
      <c r="B255" s="45"/>
      <c r="C255" s="5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45"/>
      <c r="B256" s="45"/>
      <c r="C256" s="5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45"/>
      <c r="B257" s="45"/>
      <c r="C257" s="5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45"/>
      <c r="B258" s="45"/>
      <c r="C258" s="5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45"/>
      <c r="B259" s="45"/>
      <c r="C259" s="5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45"/>
      <c r="B260" s="45"/>
      <c r="C260" s="5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45"/>
      <c r="B261" s="45"/>
      <c r="C261" s="5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45"/>
      <c r="B262" s="45"/>
      <c r="C262" s="5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45"/>
      <c r="B263" s="45"/>
      <c r="C263" s="5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45"/>
      <c r="B264" s="45"/>
      <c r="C264" s="5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45"/>
      <c r="B265" s="45"/>
      <c r="C265" s="5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45"/>
      <c r="B266" s="45"/>
      <c r="C266" s="5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45"/>
      <c r="B267" s="45"/>
      <c r="C267" s="5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45"/>
      <c r="B268" s="45"/>
      <c r="C268" s="5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45"/>
      <c r="B269" s="45"/>
      <c r="C269" s="5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45"/>
      <c r="B270" s="45"/>
      <c r="C270" s="5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45"/>
      <c r="B271" s="45"/>
      <c r="C271" s="5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45"/>
      <c r="B272" s="45"/>
      <c r="C272" s="5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45"/>
      <c r="B273" s="45"/>
      <c r="C273" s="5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45"/>
      <c r="B274" s="45"/>
      <c r="C274" s="5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45"/>
      <c r="B275" s="45"/>
      <c r="C275" s="5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45"/>
      <c r="B276" s="45"/>
      <c r="C276" s="5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45"/>
      <c r="B277" s="45"/>
      <c r="C277" s="5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45"/>
      <c r="B278" s="45"/>
      <c r="C278" s="5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45"/>
      <c r="B279" s="45"/>
      <c r="C279" s="5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45"/>
      <c r="B280" s="45"/>
      <c r="C280" s="5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45"/>
      <c r="B281" s="45"/>
      <c r="C281" s="5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45"/>
      <c r="B282" s="45"/>
      <c r="C282" s="5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45"/>
      <c r="B283" s="45"/>
      <c r="C283" s="5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45"/>
      <c r="B284" s="45"/>
      <c r="C284" s="5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45"/>
      <c r="B285" s="45"/>
      <c r="C285" s="5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45"/>
      <c r="B286" s="45"/>
      <c r="C286" s="5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45"/>
      <c r="B287" s="45"/>
      <c r="C287" s="5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45"/>
      <c r="B288" s="45"/>
      <c r="C288" s="5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45"/>
      <c r="B289" s="45"/>
      <c r="C289" s="5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45"/>
      <c r="B290" s="45"/>
      <c r="C290" s="5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45"/>
      <c r="B291" s="45"/>
      <c r="C291" s="5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45"/>
      <c r="B292" s="45"/>
      <c r="C292" s="5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45"/>
      <c r="B293" s="45"/>
      <c r="C293" s="5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45"/>
      <c r="B294" s="45"/>
      <c r="C294" s="5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45"/>
      <c r="B295" s="45"/>
      <c r="C295" s="5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45"/>
      <c r="B296" s="45"/>
      <c r="C296" s="5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45"/>
      <c r="B297" s="45"/>
      <c r="C297" s="5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45"/>
      <c r="B298" s="45"/>
      <c r="C298" s="5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45"/>
      <c r="B299" s="45"/>
      <c r="C299" s="5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45"/>
      <c r="B300" s="45"/>
      <c r="C300" s="5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45"/>
      <c r="B301" s="45"/>
      <c r="C301" s="5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45"/>
      <c r="B302" s="45"/>
      <c r="C302" s="5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45"/>
      <c r="B303" s="45"/>
      <c r="C303" s="5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45"/>
      <c r="B304" s="45"/>
      <c r="C304" s="5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45"/>
      <c r="B305" s="45"/>
      <c r="C305" s="5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45"/>
      <c r="B306" s="45"/>
      <c r="C306" s="5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45"/>
      <c r="B307" s="45"/>
      <c r="C307" s="5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45"/>
      <c r="B308" s="45"/>
      <c r="C308" s="5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45"/>
      <c r="B309" s="45"/>
      <c r="C309" s="5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45"/>
      <c r="B310" s="45"/>
      <c r="C310" s="5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45"/>
      <c r="B311" s="45"/>
      <c r="C311" s="5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45"/>
      <c r="B312" s="45"/>
      <c r="C312" s="5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45"/>
      <c r="B313" s="45"/>
      <c r="C313" s="5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45"/>
      <c r="B314" s="45"/>
      <c r="C314" s="5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45"/>
      <c r="B315" s="45"/>
      <c r="C315" s="5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45"/>
      <c r="B316" s="45"/>
      <c r="C316" s="5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45"/>
      <c r="B317" s="45"/>
      <c r="C317" s="5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45"/>
      <c r="B318" s="45"/>
      <c r="C318" s="5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45"/>
      <c r="B319" s="45"/>
      <c r="C319" s="5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45"/>
      <c r="B320" s="45"/>
      <c r="C320" s="5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45"/>
      <c r="B321" s="45"/>
      <c r="C321" s="5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45"/>
      <c r="B322" s="45"/>
      <c r="C322" s="5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45"/>
      <c r="B323" s="45"/>
      <c r="C323" s="5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45"/>
      <c r="B324" s="45"/>
      <c r="C324" s="5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45"/>
      <c r="B325" s="45"/>
      <c r="C325" s="5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45"/>
      <c r="B326" s="45"/>
      <c r="C326" s="5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45"/>
      <c r="B327" s="45"/>
      <c r="C327" s="5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45"/>
      <c r="B328" s="45"/>
      <c r="C328" s="5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45"/>
      <c r="B329" s="45"/>
      <c r="C329" s="5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45"/>
      <c r="B330" s="45"/>
      <c r="C330" s="5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45"/>
      <c r="B331" s="45"/>
      <c r="C331" s="5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45"/>
      <c r="B332" s="45"/>
      <c r="C332" s="5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45"/>
      <c r="B333" s="45"/>
      <c r="C333" s="5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45"/>
      <c r="B334" s="45"/>
      <c r="C334" s="5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45"/>
      <c r="B335" s="45"/>
      <c r="C335" s="5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45"/>
      <c r="B336" s="45"/>
      <c r="C336" s="5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45"/>
      <c r="B337" s="45"/>
      <c r="C337" s="5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45"/>
      <c r="B338" s="45"/>
      <c r="C338" s="5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45"/>
      <c r="B339" s="45"/>
      <c r="C339" s="5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45"/>
      <c r="B340" s="45"/>
      <c r="C340" s="5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45"/>
      <c r="B341" s="45"/>
      <c r="C341" s="5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45"/>
      <c r="B342" s="45"/>
      <c r="C342" s="5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45"/>
      <c r="B343" s="45"/>
      <c r="C343" s="5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45"/>
      <c r="B344" s="45"/>
      <c r="C344" s="5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45"/>
      <c r="B345" s="45"/>
      <c r="C345" s="5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45"/>
      <c r="B346" s="45"/>
      <c r="C346" s="5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45"/>
      <c r="B347" s="45"/>
      <c r="C347" s="5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45"/>
      <c r="B348" s="45"/>
      <c r="C348" s="5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45"/>
      <c r="B349" s="45"/>
      <c r="C349" s="5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45"/>
      <c r="B350" s="45"/>
      <c r="C350" s="5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45"/>
      <c r="B351" s="45"/>
      <c r="C351" s="5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45"/>
      <c r="B352" s="45"/>
      <c r="C352" s="5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45"/>
      <c r="B353" s="45"/>
      <c r="C353" s="5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45"/>
      <c r="B354" s="45"/>
      <c r="C354" s="5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45"/>
      <c r="B355" s="45"/>
      <c r="C355" s="5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45"/>
      <c r="B356" s="45"/>
      <c r="C356" s="5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45"/>
      <c r="B357" s="45"/>
      <c r="C357" s="5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45"/>
      <c r="B358" s="45"/>
      <c r="C358" s="5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45"/>
      <c r="B359" s="45"/>
      <c r="C359" s="5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45"/>
      <c r="B360" s="45"/>
      <c r="C360" s="5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45"/>
      <c r="B361" s="45"/>
      <c r="C361" s="5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45"/>
      <c r="B362" s="45"/>
      <c r="C362" s="5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45"/>
      <c r="B363" s="45"/>
      <c r="C363" s="5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45"/>
      <c r="B364" s="45"/>
      <c r="C364" s="5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45"/>
      <c r="B365" s="45"/>
      <c r="C365" s="5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45"/>
      <c r="B366" s="45"/>
      <c r="C366" s="5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45"/>
      <c r="B367" s="45"/>
      <c r="C367" s="5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45"/>
      <c r="B368" s="45"/>
      <c r="C368" s="5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45"/>
      <c r="B369" s="45"/>
      <c r="C369" s="5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45"/>
      <c r="B370" s="45"/>
      <c r="C370" s="5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45"/>
      <c r="B371" s="45"/>
      <c r="C371" s="5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45"/>
      <c r="B372" s="45"/>
      <c r="C372" s="5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45"/>
      <c r="B373" s="45"/>
      <c r="C373" s="5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45"/>
      <c r="B374" s="45"/>
      <c r="C374" s="5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45"/>
      <c r="B375" s="45"/>
      <c r="C375" s="5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45"/>
      <c r="B376" s="45"/>
      <c r="C376" s="5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45"/>
      <c r="B377" s="45"/>
      <c r="C377" s="5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45"/>
      <c r="B378" s="45"/>
      <c r="C378" s="5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45"/>
      <c r="B379" s="45"/>
      <c r="C379" s="5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45"/>
      <c r="B380" s="45"/>
      <c r="C380" s="5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45"/>
      <c r="B381" s="45"/>
      <c r="C381" s="5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45"/>
      <c r="B382" s="45"/>
      <c r="C382" s="5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45"/>
      <c r="B383" s="45"/>
      <c r="C383" s="5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45"/>
      <c r="B384" s="45"/>
      <c r="C384" s="5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45"/>
      <c r="B385" s="45"/>
      <c r="C385" s="5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45"/>
      <c r="B386" s="45"/>
      <c r="C386" s="5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45"/>
      <c r="B387" s="45"/>
      <c r="C387" s="5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45"/>
      <c r="B388" s="45"/>
      <c r="C388" s="5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45"/>
      <c r="B389" s="45"/>
      <c r="C389" s="5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45"/>
      <c r="B390" s="45"/>
      <c r="C390" s="5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45"/>
      <c r="B391" s="45"/>
      <c r="C391" s="5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45"/>
      <c r="B392" s="45"/>
      <c r="C392" s="5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45"/>
      <c r="B393" s="45"/>
      <c r="C393" s="5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45"/>
      <c r="B394" s="45"/>
      <c r="C394" s="5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45"/>
      <c r="B395" s="45"/>
      <c r="C395" s="5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45"/>
      <c r="B396" s="45"/>
      <c r="C396" s="5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45"/>
      <c r="B397" s="45"/>
      <c r="C397" s="5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45"/>
      <c r="B398" s="45"/>
      <c r="C398" s="5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45"/>
      <c r="B399" s="45"/>
      <c r="C399" s="5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45"/>
      <c r="B400" s="45"/>
      <c r="C400" s="5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45"/>
      <c r="B401" s="45"/>
      <c r="C401" s="5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45"/>
      <c r="B402" s="45"/>
      <c r="C402" s="5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45"/>
      <c r="B403" s="45"/>
      <c r="C403" s="5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45"/>
      <c r="B404" s="45"/>
      <c r="C404" s="5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45"/>
      <c r="B405" s="45"/>
      <c r="C405" s="5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45"/>
      <c r="B406" s="45"/>
      <c r="C406" s="5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45"/>
      <c r="B407" s="45"/>
      <c r="C407" s="5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45"/>
      <c r="B408" s="45"/>
      <c r="C408" s="5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45"/>
      <c r="B409" s="45"/>
      <c r="C409" s="5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45"/>
      <c r="B410" s="45"/>
      <c r="C410" s="5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45"/>
      <c r="B411" s="45"/>
      <c r="C411" s="5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45"/>
      <c r="B412" s="45"/>
      <c r="C412" s="5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45"/>
      <c r="B413" s="45"/>
      <c r="C413" s="5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45"/>
      <c r="B414" s="45"/>
      <c r="C414" s="5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45"/>
      <c r="B415" s="45"/>
      <c r="C415" s="5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45"/>
      <c r="B416" s="45"/>
      <c r="C416" s="5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45"/>
      <c r="B417" s="45"/>
      <c r="C417" s="5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45"/>
      <c r="B418" s="45"/>
      <c r="C418" s="5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45"/>
      <c r="B419" s="45"/>
      <c r="C419" s="5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45"/>
      <c r="B420" s="45"/>
      <c r="C420" s="5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45"/>
      <c r="B421" s="45"/>
      <c r="C421" s="5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45"/>
      <c r="B422" s="45"/>
      <c r="C422" s="5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45"/>
      <c r="B423" s="45"/>
      <c r="C423" s="5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45"/>
      <c r="B424" s="45"/>
      <c r="C424" s="5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45"/>
      <c r="B425" s="45"/>
      <c r="C425" s="5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45"/>
      <c r="B426" s="45"/>
      <c r="C426" s="5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45"/>
      <c r="B427" s="45"/>
      <c r="C427" s="5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45"/>
      <c r="B428" s="45"/>
      <c r="C428" s="5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45"/>
      <c r="B429" s="45"/>
      <c r="C429" s="5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45"/>
      <c r="B430" s="45"/>
      <c r="C430" s="5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45"/>
      <c r="B431" s="45"/>
      <c r="C431" s="5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45"/>
      <c r="B432" s="45"/>
      <c r="C432" s="5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45"/>
      <c r="B433" s="45"/>
      <c r="C433" s="5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45"/>
      <c r="B434" s="45"/>
      <c r="C434" s="5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45"/>
      <c r="B435" s="45"/>
      <c r="C435" s="5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45"/>
      <c r="B436" s="45"/>
      <c r="C436" s="5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45"/>
      <c r="B437" s="45"/>
      <c r="C437" s="5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45"/>
      <c r="B438" s="45"/>
      <c r="C438" s="5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45"/>
      <c r="B439" s="45"/>
      <c r="C439" s="5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45"/>
      <c r="B440" s="45"/>
      <c r="C440" s="5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45"/>
      <c r="B441" s="45"/>
      <c r="C441" s="5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45"/>
      <c r="B442" s="45"/>
      <c r="C442" s="5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45"/>
      <c r="B443" s="45"/>
      <c r="C443" s="5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45"/>
      <c r="B444" s="45"/>
      <c r="C444" s="5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45"/>
      <c r="B445" s="45"/>
      <c r="C445" s="5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45"/>
      <c r="B446" s="45"/>
      <c r="C446" s="5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45"/>
      <c r="B447" s="45"/>
      <c r="C447" s="5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45"/>
      <c r="B448" s="45"/>
      <c r="C448" s="5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45"/>
      <c r="B449" s="45"/>
      <c r="C449" s="5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45"/>
      <c r="B450" s="45"/>
      <c r="C450" s="5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45"/>
      <c r="B451" s="45"/>
      <c r="C451" s="5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45"/>
      <c r="B452" s="45"/>
      <c r="C452" s="5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45"/>
      <c r="B453" s="45"/>
      <c r="C453" s="5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45"/>
      <c r="B454" s="45"/>
      <c r="C454" s="5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45"/>
      <c r="B455" s="45"/>
      <c r="C455" s="5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45"/>
      <c r="B456" s="45"/>
      <c r="C456" s="5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45"/>
      <c r="B457" s="45"/>
      <c r="C457" s="5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45"/>
      <c r="B458" s="45"/>
      <c r="C458" s="5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45"/>
      <c r="B459" s="45"/>
      <c r="C459" s="5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45"/>
      <c r="B460" s="45"/>
      <c r="C460" s="5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45"/>
      <c r="B461" s="45"/>
      <c r="C461" s="5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45"/>
      <c r="B462" s="45"/>
      <c r="C462" s="5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45"/>
      <c r="B463" s="45"/>
      <c r="C463" s="5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45"/>
      <c r="B464" s="45"/>
      <c r="C464" s="5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45"/>
      <c r="B465" s="45"/>
      <c r="C465" s="5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45"/>
      <c r="B466" s="45"/>
      <c r="C466" s="5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45"/>
      <c r="B467" s="45"/>
      <c r="C467" s="5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45"/>
      <c r="B468" s="45"/>
      <c r="C468" s="5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45"/>
      <c r="B469" s="45"/>
      <c r="C469" s="5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45"/>
      <c r="B470" s="45"/>
      <c r="C470" s="5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45"/>
      <c r="B471" s="45"/>
      <c r="C471" s="5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45"/>
      <c r="B472" s="45"/>
      <c r="C472" s="5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45"/>
      <c r="B473" s="45"/>
      <c r="C473" s="5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45"/>
      <c r="B474" s="45"/>
      <c r="C474" s="5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45"/>
      <c r="B475" s="45"/>
      <c r="C475" s="5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45"/>
      <c r="B476" s="45"/>
      <c r="C476" s="5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45"/>
      <c r="B477" s="45"/>
      <c r="C477" s="5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45"/>
      <c r="B478" s="45"/>
      <c r="C478" s="5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45"/>
      <c r="B479" s="45"/>
      <c r="C479" s="5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45"/>
      <c r="B480" s="45"/>
      <c r="C480" s="5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45"/>
      <c r="B481" s="45"/>
      <c r="C481" s="5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45"/>
      <c r="B482" s="45"/>
      <c r="C482" s="5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45"/>
      <c r="B483" s="45"/>
      <c r="C483" s="5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45"/>
      <c r="B484" s="45"/>
      <c r="C484" s="5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45"/>
      <c r="B485" s="45"/>
      <c r="C485" s="5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45"/>
      <c r="B486" s="45"/>
      <c r="C486" s="5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45"/>
      <c r="B487" s="45"/>
      <c r="C487" s="5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45"/>
      <c r="B488" s="45"/>
      <c r="C488" s="5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45"/>
      <c r="B489" s="45"/>
      <c r="C489" s="5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45"/>
      <c r="B490" s="45"/>
      <c r="C490" s="5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45"/>
      <c r="B491" s="45"/>
      <c r="C491" s="5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45"/>
      <c r="B492" s="45"/>
      <c r="C492" s="5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45"/>
      <c r="B493" s="45"/>
      <c r="C493" s="5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45"/>
      <c r="B494" s="45"/>
      <c r="C494" s="5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45"/>
      <c r="B495" s="45"/>
      <c r="C495" s="5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45"/>
      <c r="B496" s="45"/>
      <c r="C496" s="5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45"/>
      <c r="B497" s="45"/>
      <c r="C497" s="5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45"/>
      <c r="B498" s="45"/>
      <c r="C498" s="5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45"/>
      <c r="B499" s="45"/>
      <c r="C499" s="5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45"/>
      <c r="B500" s="45"/>
      <c r="C500" s="5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45"/>
      <c r="B501" s="45"/>
      <c r="C501" s="5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45"/>
      <c r="B502" s="45"/>
      <c r="C502" s="5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45"/>
      <c r="B503" s="45"/>
      <c r="C503" s="5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45"/>
      <c r="B504" s="45"/>
      <c r="C504" s="5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45"/>
      <c r="B505" s="45"/>
      <c r="C505" s="5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45"/>
      <c r="B506" s="45"/>
      <c r="C506" s="5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45"/>
      <c r="B507" s="45"/>
      <c r="C507" s="5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45"/>
      <c r="B508" s="45"/>
      <c r="C508" s="5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45"/>
      <c r="B509" s="45"/>
      <c r="C509" s="5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45"/>
      <c r="B510" s="45"/>
      <c r="C510" s="5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45"/>
      <c r="B511" s="45"/>
      <c r="C511" s="5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45"/>
      <c r="B512" s="45"/>
      <c r="C512" s="5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45"/>
      <c r="B513" s="45"/>
      <c r="C513" s="5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45"/>
      <c r="B514" s="45"/>
      <c r="C514" s="5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45"/>
      <c r="B515" s="45"/>
      <c r="C515" s="5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45"/>
      <c r="B516" s="45"/>
      <c r="C516" s="5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45"/>
      <c r="B517" s="45"/>
      <c r="C517" s="5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45"/>
      <c r="B518" s="45"/>
      <c r="C518" s="5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45"/>
      <c r="B519" s="45"/>
      <c r="C519" s="5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45"/>
      <c r="B520" s="45"/>
      <c r="C520" s="5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45"/>
      <c r="B521" s="45"/>
      <c r="C521" s="5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45"/>
      <c r="B522" s="45"/>
      <c r="C522" s="5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45"/>
      <c r="B523" s="45"/>
      <c r="C523" s="5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45"/>
      <c r="B524" s="45"/>
      <c r="C524" s="5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45"/>
      <c r="B525" s="45"/>
      <c r="C525" s="5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45"/>
      <c r="B526" s="45"/>
      <c r="C526" s="5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45"/>
      <c r="B527" s="45"/>
      <c r="C527" s="5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45"/>
      <c r="B528" s="45"/>
      <c r="C528" s="5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45"/>
      <c r="B529" s="45"/>
      <c r="C529" s="5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45"/>
      <c r="B530" s="45"/>
      <c r="C530" s="5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45"/>
      <c r="B531" s="45"/>
      <c r="C531" s="5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45"/>
      <c r="B532" s="45"/>
      <c r="C532" s="5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45"/>
      <c r="B533" s="45"/>
      <c r="C533" s="5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45"/>
      <c r="B534" s="45"/>
      <c r="C534" s="5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45"/>
      <c r="B535" s="45"/>
      <c r="C535" s="5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45"/>
      <c r="B536" s="45"/>
      <c r="C536" s="5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45"/>
      <c r="B537" s="45"/>
      <c r="C537" s="5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45"/>
      <c r="B538" s="45"/>
      <c r="C538" s="5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45"/>
      <c r="B539" s="45"/>
      <c r="C539" s="5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45"/>
      <c r="B540" s="45"/>
      <c r="C540" s="5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45"/>
      <c r="B541" s="45"/>
      <c r="C541" s="5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45"/>
      <c r="B542" s="45"/>
      <c r="C542" s="5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45"/>
      <c r="B543" s="45"/>
      <c r="C543" s="5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45"/>
      <c r="B544" s="45"/>
      <c r="C544" s="5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45"/>
      <c r="B545" s="45"/>
      <c r="C545" s="5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45"/>
      <c r="B546" s="45"/>
      <c r="C546" s="5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45"/>
      <c r="B547" s="45"/>
      <c r="C547" s="5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45"/>
      <c r="B548" s="45"/>
      <c r="C548" s="5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45"/>
      <c r="B549" s="45"/>
      <c r="C549" s="5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45"/>
      <c r="B550" s="45"/>
      <c r="C550" s="5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45"/>
      <c r="B551" s="45"/>
      <c r="C551" s="5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45"/>
      <c r="B552" s="45"/>
      <c r="C552" s="5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45"/>
      <c r="B553" s="45"/>
      <c r="C553" s="5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45"/>
      <c r="B554" s="45"/>
      <c r="C554" s="5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45"/>
      <c r="B555" s="45"/>
      <c r="C555" s="5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45"/>
      <c r="B556" s="45"/>
      <c r="C556" s="5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45"/>
      <c r="B557" s="45"/>
      <c r="C557" s="5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45"/>
      <c r="B558" s="45"/>
      <c r="C558" s="5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45"/>
      <c r="B559" s="45"/>
      <c r="C559" s="5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45"/>
      <c r="B560" s="45"/>
      <c r="C560" s="5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45"/>
      <c r="B561" s="45"/>
      <c r="C561" s="5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45"/>
      <c r="B562" s="45"/>
      <c r="C562" s="5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45"/>
      <c r="B563" s="45"/>
      <c r="C563" s="5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45"/>
      <c r="B564" s="45"/>
      <c r="C564" s="5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45"/>
      <c r="B565" s="45"/>
      <c r="C565" s="5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45"/>
      <c r="B566" s="45"/>
      <c r="C566" s="5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45"/>
      <c r="B567" s="45"/>
      <c r="C567" s="5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45"/>
      <c r="B568" s="45"/>
      <c r="C568" s="5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45"/>
      <c r="B569" s="45"/>
      <c r="C569" s="5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45"/>
      <c r="B570" s="45"/>
      <c r="C570" s="5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45"/>
      <c r="B571" s="45"/>
      <c r="C571" s="5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45"/>
      <c r="B572" s="45"/>
      <c r="C572" s="5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45"/>
      <c r="B573" s="45"/>
      <c r="C573" s="5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45"/>
      <c r="B574" s="45"/>
      <c r="C574" s="5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45"/>
      <c r="B575" s="45"/>
      <c r="C575" s="5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45"/>
      <c r="B576" s="45"/>
      <c r="C576" s="5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45"/>
      <c r="B577" s="45"/>
      <c r="C577" s="5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45"/>
      <c r="B578" s="45"/>
      <c r="C578" s="5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45"/>
      <c r="B579" s="45"/>
      <c r="C579" s="5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45"/>
      <c r="B580" s="45"/>
      <c r="C580" s="5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45"/>
      <c r="B581" s="45"/>
      <c r="C581" s="5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45"/>
      <c r="B582" s="45"/>
      <c r="C582" s="5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45"/>
      <c r="B583" s="45"/>
      <c r="C583" s="5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45"/>
      <c r="B584" s="45"/>
      <c r="C584" s="5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45"/>
      <c r="B585" s="45"/>
      <c r="C585" s="5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45"/>
      <c r="B586" s="45"/>
      <c r="C586" s="5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45"/>
      <c r="B587" s="45"/>
      <c r="C587" s="5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45"/>
      <c r="B588" s="45"/>
      <c r="C588" s="5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45"/>
      <c r="B589" s="45"/>
      <c r="C589" s="5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45"/>
      <c r="B590" s="45"/>
      <c r="C590" s="5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45"/>
      <c r="B591" s="45"/>
      <c r="C591" s="5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45"/>
      <c r="B592" s="45"/>
      <c r="C592" s="5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45"/>
      <c r="B593" s="45"/>
      <c r="C593" s="5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45"/>
      <c r="B594" s="45"/>
      <c r="C594" s="5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45"/>
      <c r="B595" s="45"/>
      <c r="C595" s="5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45"/>
      <c r="B596" s="45"/>
      <c r="C596" s="5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45"/>
      <c r="B597" s="45"/>
      <c r="C597" s="5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45"/>
      <c r="B598" s="45"/>
      <c r="C598" s="5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45"/>
      <c r="B599" s="45"/>
      <c r="C599" s="5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45"/>
      <c r="B600" s="45"/>
      <c r="C600" s="5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45"/>
      <c r="B601" s="45"/>
      <c r="C601" s="5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45"/>
      <c r="B602" s="45"/>
      <c r="C602" s="5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45"/>
      <c r="B603" s="45"/>
      <c r="C603" s="5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45"/>
      <c r="B604" s="45"/>
      <c r="C604" s="5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45"/>
      <c r="B605" s="45"/>
      <c r="C605" s="5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45"/>
      <c r="B606" s="45"/>
      <c r="C606" s="5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45"/>
      <c r="B607" s="45"/>
      <c r="C607" s="5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45"/>
      <c r="B608" s="45"/>
      <c r="C608" s="5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45"/>
      <c r="B609" s="45"/>
      <c r="C609" s="5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45"/>
      <c r="B610" s="45"/>
      <c r="C610" s="5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45"/>
      <c r="B611" s="45"/>
      <c r="C611" s="5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45"/>
      <c r="B612" s="45"/>
      <c r="C612" s="5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45"/>
      <c r="B613" s="45"/>
      <c r="C613" s="5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45"/>
      <c r="B614" s="45"/>
      <c r="C614" s="5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45"/>
      <c r="B615" s="45"/>
      <c r="C615" s="5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45"/>
      <c r="B616" s="45"/>
      <c r="C616" s="5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45"/>
      <c r="B617" s="45"/>
      <c r="C617" s="5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45"/>
      <c r="B618" s="45"/>
      <c r="C618" s="5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45"/>
      <c r="B619" s="45"/>
      <c r="C619" s="5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45"/>
      <c r="B620" s="45"/>
      <c r="C620" s="5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45"/>
      <c r="B621" s="45"/>
      <c r="C621" s="5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45"/>
      <c r="B622" s="45"/>
      <c r="C622" s="5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45"/>
      <c r="B623" s="45"/>
      <c r="C623" s="5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45"/>
      <c r="B624" s="45"/>
      <c r="C624" s="5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45"/>
      <c r="B625" s="45"/>
      <c r="C625" s="5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45"/>
      <c r="B626" s="45"/>
      <c r="C626" s="5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45"/>
      <c r="B627" s="45"/>
      <c r="C627" s="5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45"/>
      <c r="B628" s="45"/>
      <c r="C628" s="5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45"/>
      <c r="B629" s="45"/>
      <c r="C629" s="5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45"/>
      <c r="B630" s="45"/>
      <c r="C630" s="5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45"/>
      <c r="B631" s="45"/>
      <c r="C631" s="5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45"/>
      <c r="B632" s="45"/>
      <c r="C632" s="5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45"/>
      <c r="B633" s="45"/>
      <c r="C633" s="5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45"/>
      <c r="B634" s="45"/>
      <c r="C634" s="5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45"/>
      <c r="B635" s="45"/>
      <c r="C635" s="5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45"/>
      <c r="B636" s="45"/>
      <c r="C636" s="5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45"/>
      <c r="B637" s="45"/>
      <c r="C637" s="5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45"/>
      <c r="B638" s="45"/>
      <c r="C638" s="5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45"/>
      <c r="B639" s="45"/>
      <c r="C639" s="5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45"/>
      <c r="B640" s="45"/>
      <c r="C640" s="5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45"/>
      <c r="B641" s="45"/>
      <c r="C641" s="5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45"/>
      <c r="B642" s="45"/>
      <c r="C642" s="5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45"/>
      <c r="B643" s="45"/>
      <c r="C643" s="5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45"/>
      <c r="B644" s="45"/>
      <c r="C644" s="5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45"/>
      <c r="B645" s="45"/>
      <c r="C645" s="5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45"/>
      <c r="B646" s="45"/>
      <c r="C646" s="5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45"/>
      <c r="B647" s="45"/>
      <c r="C647" s="5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45"/>
      <c r="B648" s="45"/>
      <c r="C648" s="5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45"/>
      <c r="B649" s="45"/>
      <c r="C649" s="5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45"/>
      <c r="B650" s="45"/>
      <c r="C650" s="5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45"/>
      <c r="B651" s="45"/>
      <c r="C651" s="5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45"/>
      <c r="B652" s="45"/>
      <c r="C652" s="5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45"/>
      <c r="B653" s="45"/>
      <c r="C653" s="5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45"/>
      <c r="B654" s="45"/>
      <c r="C654" s="5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45"/>
      <c r="B655" s="45"/>
      <c r="C655" s="5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45"/>
      <c r="B656" s="45"/>
      <c r="C656" s="5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45"/>
      <c r="B657" s="45"/>
      <c r="C657" s="5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45"/>
      <c r="B658" s="45"/>
      <c r="C658" s="5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45"/>
      <c r="B659" s="45"/>
      <c r="C659" s="5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45"/>
      <c r="B660" s="45"/>
      <c r="C660" s="5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45"/>
      <c r="B661" s="45"/>
      <c r="C661" s="5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45"/>
      <c r="B662" s="45"/>
      <c r="C662" s="5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45"/>
      <c r="B663" s="45"/>
      <c r="C663" s="5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45"/>
      <c r="B664" s="45"/>
      <c r="C664" s="5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45"/>
      <c r="B665" s="45"/>
      <c r="C665" s="5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45"/>
      <c r="B666" s="45"/>
      <c r="C666" s="5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45"/>
      <c r="B667" s="45"/>
      <c r="C667" s="5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45"/>
      <c r="B668" s="45"/>
      <c r="C668" s="5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45"/>
      <c r="B669" s="45"/>
      <c r="C669" s="5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45"/>
      <c r="B670" s="45"/>
      <c r="C670" s="5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45"/>
      <c r="B671" s="45"/>
      <c r="C671" s="5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45"/>
      <c r="B672" s="45"/>
      <c r="C672" s="5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45"/>
      <c r="B673" s="45"/>
      <c r="C673" s="5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45"/>
      <c r="B674" s="45"/>
      <c r="C674" s="5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45"/>
      <c r="B675" s="45"/>
      <c r="C675" s="5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45"/>
      <c r="B676" s="45"/>
      <c r="C676" s="5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45"/>
      <c r="B677" s="45"/>
      <c r="C677" s="5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45"/>
      <c r="B678" s="45"/>
      <c r="C678" s="5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45"/>
      <c r="B679" s="45"/>
      <c r="C679" s="5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45"/>
      <c r="B680" s="45"/>
      <c r="C680" s="5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45"/>
      <c r="B681" s="45"/>
      <c r="C681" s="5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45"/>
      <c r="B682" s="45"/>
      <c r="C682" s="5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45"/>
      <c r="B683" s="45"/>
      <c r="C683" s="5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45"/>
      <c r="B684" s="45"/>
      <c r="C684" s="5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45"/>
      <c r="B685" s="45"/>
      <c r="C685" s="5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45"/>
      <c r="B686" s="45"/>
      <c r="C686" s="5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45"/>
      <c r="B687" s="45"/>
      <c r="C687" s="5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45"/>
      <c r="B688" s="45"/>
      <c r="C688" s="5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45"/>
      <c r="B689" s="45"/>
      <c r="C689" s="5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45"/>
      <c r="B690" s="45"/>
      <c r="C690" s="5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45"/>
      <c r="B691" s="45"/>
      <c r="C691" s="5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45"/>
      <c r="B692" s="45"/>
      <c r="C692" s="5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45"/>
      <c r="B693" s="45"/>
      <c r="C693" s="5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45"/>
      <c r="B694" s="45"/>
      <c r="C694" s="5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45"/>
      <c r="B695" s="45"/>
      <c r="C695" s="5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45"/>
      <c r="B696" s="45"/>
      <c r="C696" s="5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45"/>
      <c r="B697" s="45"/>
      <c r="C697" s="5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45"/>
      <c r="B698" s="45"/>
      <c r="C698" s="5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45"/>
      <c r="B699" s="45"/>
      <c r="C699" s="5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45"/>
      <c r="B700" s="45"/>
      <c r="C700" s="5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45"/>
      <c r="B701" s="45"/>
      <c r="C701" s="5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45"/>
      <c r="B702" s="45"/>
      <c r="C702" s="5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45"/>
      <c r="B703" s="45"/>
      <c r="C703" s="5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45"/>
      <c r="B704" s="45"/>
      <c r="C704" s="5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45"/>
      <c r="B705" s="45"/>
      <c r="C705" s="5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45"/>
      <c r="B706" s="45"/>
      <c r="C706" s="5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45"/>
      <c r="B707" s="45"/>
      <c r="C707" s="5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45"/>
      <c r="B708" s="45"/>
      <c r="C708" s="5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45"/>
      <c r="B709" s="45"/>
      <c r="C709" s="5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45"/>
      <c r="B710" s="45"/>
      <c r="C710" s="5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45"/>
      <c r="B711" s="45"/>
      <c r="C711" s="5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45"/>
      <c r="B712" s="45"/>
      <c r="C712" s="5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45"/>
      <c r="B713" s="45"/>
      <c r="C713" s="5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45"/>
      <c r="B714" s="45"/>
      <c r="C714" s="5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45"/>
      <c r="B715" s="45"/>
      <c r="C715" s="5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45"/>
      <c r="B716" s="45"/>
      <c r="C716" s="5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45"/>
      <c r="B717" s="45"/>
      <c r="C717" s="5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45"/>
      <c r="B718" s="45"/>
      <c r="C718" s="5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45"/>
      <c r="B719" s="45"/>
      <c r="C719" s="5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45"/>
      <c r="B720" s="45"/>
      <c r="C720" s="5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45"/>
      <c r="B721" s="45"/>
      <c r="C721" s="5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45"/>
      <c r="B722" s="45"/>
      <c r="C722" s="5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45"/>
      <c r="B723" s="45"/>
      <c r="C723" s="5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45"/>
      <c r="B724" s="45"/>
      <c r="C724" s="5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45"/>
      <c r="B725" s="45"/>
      <c r="C725" s="5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45"/>
      <c r="B726" s="45"/>
      <c r="C726" s="5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45"/>
      <c r="B727" s="45"/>
      <c r="C727" s="5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45"/>
      <c r="B728" s="45"/>
      <c r="C728" s="5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45"/>
      <c r="B729" s="45"/>
      <c r="C729" s="5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45"/>
      <c r="B730" s="45"/>
      <c r="C730" s="5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45"/>
      <c r="B731" s="45"/>
      <c r="C731" s="5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45"/>
      <c r="B732" s="45"/>
      <c r="C732" s="5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45"/>
      <c r="B733" s="45"/>
      <c r="C733" s="5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45"/>
      <c r="B734" s="45"/>
      <c r="C734" s="5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45"/>
      <c r="B735" s="45"/>
      <c r="C735" s="5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45"/>
      <c r="B736" s="45"/>
      <c r="C736" s="5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45"/>
      <c r="B737" s="45"/>
      <c r="C737" s="5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45"/>
      <c r="B738" s="45"/>
      <c r="C738" s="5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45"/>
      <c r="B739" s="45"/>
      <c r="C739" s="5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45"/>
      <c r="B740" s="45"/>
      <c r="C740" s="5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45"/>
      <c r="B741" s="45"/>
      <c r="C741" s="5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45"/>
      <c r="B742" s="45"/>
      <c r="C742" s="5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45"/>
      <c r="B743" s="45"/>
      <c r="C743" s="5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45"/>
      <c r="B744" s="45"/>
      <c r="C744" s="5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45"/>
      <c r="B745" s="45"/>
      <c r="C745" s="5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45"/>
      <c r="B746" s="45"/>
      <c r="C746" s="5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45"/>
      <c r="B747" s="45"/>
      <c r="C747" s="5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45"/>
      <c r="B748" s="45"/>
      <c r="C748" s="5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45"/>
      <c r="B749" s="45"/>
      <c r="C749" s="5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45"/>
      <c r="B750" s="45"/>
      <c r="C750" s="5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45"/>
      <c r="B751" s="45"/>
      <c r="C751" s="5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45"/>
      <c r="B752" s="45"/>
      <c r="C752" s="5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45"/>
      <c r="B753" s="45"/>
      <c r="C753" s="5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45"/>
      <c r="B754" s="45"/>
      <c r="C754" s="5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45"/>
      <c r="B755" s="45"/>
      <c r="C755" s="5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45"/>
      <c r="B756" s="45"/>
      <c r="C756" s="5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45"/>
      <c r="B757" s="45"/>
      <c r="C757" s="5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45"/>
      <c r="B758" s="45"/>
      <c r="C758" s="5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45"/>
      <c r="B759" s="45"/>
      <c r="C759" s="5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45"/>
      <c r="B760" s="45"/>
      <c r="C760" s="5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45"/>
      <c r="B761" s="45"/>
      <c r="C761" s="5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45"/>
      <c r="B762" s="45"/>
      <c r="C762" s="5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45"/>
      <c r="B763" s="45"/>
      <c r="C763" s="5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45"/>
      <c r="B764" s="45"/>
      <c r="C764" s="5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45"/>
      <c r="B765" s="45"/>
      <c r="C765" s="5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45"/>
      <c r="B766" s="45"/>
      <c r="C766" s="5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45"/>
      <c r="B767" s="45"/>
      <c r="C767" s="5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45"/>
      <c r="B768" s="45"/>
      <c r="C768" s="5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45"/>
      <c r="B769" s="45"/>
      <c r="C769" s="5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45"/>
      <c r="B770" s="45"/>
      <c r="C770" s="5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45"/>
      <c r="B771" s="45"/>
      <c r="C771" s="5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45"/>
      <c r="B772" s="45"/>
      <c r="C772" s="5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45"/>
      <c r="B773" s="45"/>
      <c r="C773" s="5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45"/>
      <c r="B774" s="45"/>
      <c r="C774" s="5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45"/>
      <c r="B775" s="45"/>
      <c r="C775" s="5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45"/>
      <c r="B776" s="45"/>
      <c r="C776" s="5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45"/>
      <c r="B777" s="45"/>
      <c r="C777" s="5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45"/>
      <c r="B778" s="45"/>
      <c r="C778" s="5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45"/>
      <c r="B779" s="45"/>
      <c r="C779" s="5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45"/>
      <c r="B780" s="45"/>
      <c r="C780" s="5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45"/>
      <c r="B781" s="45"/>
      <c r="C781" s="5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45"/>
      <c r="B782" s="45"/>
      <c r="C782" s="5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45"/>
      <c r="B783" s="45"/>
      <c r="C783" s="5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45"/>
      <c r="B784" s="45"/>
      <c r="C784" s="5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45"/>
      <c r="B785" s="45"/>
      <c r="C785" s="5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45"/>
      <c r="B786" s="45"/>
      <c r="C786" s="5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45"/>
      <c r="B787" s="45"/>
      <c r="C787" s="5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45"/>
      <c r="B788" s="45"/>
      <c r="C788" s="5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45"/>
      <c r="B789" s="45"/>
      <c r="C789" s="5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45"/>
      <c r="B790" s="45"/>
      <c r="C790" s="5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45"/>
      <c r="B791" s="45"/>
      <c r="C791" s="5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45"/>
      <c r="B792" s="45"/>
      <c r="C792" s="5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45"/>
      <c r="B793" s="45"/>
      <c r="C793" s="5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45"/>
      <c r="B794" s="45"/>
      <c r="C794" s="5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45"/>
      <c r="B795" s="45"/>
      <c r="C795" s="5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45"/>
      <c r="B796" s="45"/>
      <c r="C796" s="5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45"/>
      <c r="B797" s="45"/>
      <c r="C797" s="5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45"/>
      <c r="B798" s="45"/>
      <c r="C798" s="5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45"/>
      <c r="B799" s="45"/>
      <c r="C799" s="5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45"/>
      <c r="B800" s="45"/>
      <c r="C800" s="5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45"/>
      <c r="B801" s="45"/>
      <c r="C801" s="5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45"/>
      <c r="B802" s="45"/>
      <c r="C802" s="5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45"/>
      <c r="B803" s="45"/>
      <c r="C803" s="5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45"/>
      <c r="B804" s="45"/>
      <c r="C804" s="5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45"/>
      <c r="B805" s="45"/>
      <c r="C805" s="5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45"/>
      <c r="B806" s="45"/>
      <c r="C806" s="5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45"/>
      <c r="B807" s="45"/>
      <c r="C807" s="5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45"/>
      <c r="B808" s="45"/>
      <c r="C808" s="5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45"/>
      <c r="B809" s="45"/>
      <c r="C809" s="5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45"/>
      <c r="B810" s="45"/>
      <c r="C810" s="5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45"/>
      <c r="B811" s="45"/>
      <c r="C811" s="5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45"/>
      <c r="B812" s="45"/>
      <c r="C812" s="5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45"/>
      <c r="B813" s="45"/>
      <c r="C813" s="5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45"/>
      <c r="B814" s="45"/>
      <c r="C814" s="5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45"/>
      <c r="B815" s="45"/>
      <c r="C815" s="5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45"/>
      <c r="B816" s="45"/>
      <c r="C816" s="5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45"/>
      <c r="B817" s="45"/>
      <c r="C817" s="5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45"/>
      <c r="B818" s="45"/>
      <c r="C818" s="5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45"/>
      <c r="B819" s="45"/>
      <c r="C819" s="5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45"/>
      <c r="B820" s="45"/>
      <c r="C820" s="5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45"/>
      <c r="B821" s="45"/>
      <c r="C821" s="5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45"/>
      <c r="B822" s="45"/>
      <c r="C822" s="5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45"/>
      <c r="B823" s="45"/>
      <c r="C823" s="5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45"/>
      <c r="B824" s="45"/>
      <c r="C824" s="5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45"/>
      <c r="B825" s="45"/>
      <c r="C825" s="5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45"/>
      <c r="B826" s="45"/>
      <c r="C826" s="5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45"/>
      <c r="B827" s="45"/>
      <c r="C827" s="5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45"/>
      <c r="B828" s="45"/>
      <c r="C828" s="5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45"/>
      <c r="B829" s="45"/>
      <c r="C829" s="5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45"/>
      <c r="B830" s="45"/>
      <c r="C830" s="5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45"/>
      <c r="B831" s="45"/>
      <c r="C831" s="5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45"/>
      <c r="B832" s="45"/>
      <c r="C832" s="5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45"/>
      <c r="B833" s="45"/>
      <c r="C833" s="5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45"/>
      <c r="B834" s="45"/>
      <c r="C834" s="5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45"/>
      <c r="B835" s="45"/>
      <c r="C835" s="5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45"/>
      <c r="B836" s="45"/>
      <c r="C836" s="5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45"/>
      <c r="B837" s="45"/>
      <c r="C837" s="5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45"/>
      <c r="B838" s="45"/>
      <c r="C838" s="5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45"/>
      <c r="B839" s="45"/>
      <c r="C839" s="5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45"/>
      <c r="B840" s="45"/>
      <c r="C840" s="5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45"/>
      <c r="B841" s="45"/>
      <c r="C841" s="5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45"/>
      <c r="B842" s="45"/>
      <c r="C842" s="5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45"/>
      <c r="B843" s="45"/>
      <c r="C843" s="5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45"/>
      <c r="B844" s="45"/>
      <c r="C844" s="5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45"/>
      <c r="B845" s="45"/>
      <c r="C845" s="5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45"/>
      <c r="B846" s="45"/>
      <c r="C846" s="5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45"/>
      <c r="B847" s="45"/>
      <c r="C847" s="5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45"/>
      <c r="B848" s="45"/>
      <c r="C848" s="5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45"/>
      <c r="B849" s="45"/>
      <c r="C849" s="5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45"/>
      <c r="B850" s="45"/>
      <c r="C850" s="5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45"/>
      <c r="B851" s="45"/>
      <c r="C851" s="5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45"/>
      <c r="B852" s="45"/>
      <c r="C852" s="5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45"/>
      <c r="B853" s="45"/>
      <c r="C853" s="5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45"/>
      <c r="B854" s="45"/>
      <c r="C854" s="5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45"/>
      <c r="B855" s="45"/>
      <c r="C855" s="5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45"/>
      <c r="B856" s="45"/>
      <c r="C856" s="5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45"/>
      <c r="B857" s="45"/>
      <c r="C857" s="5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45"/>
      <c r="B858" s="45"/>
      <c r="C858" s="5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45"/>
      <c r="B859" s="45"/>
      <c r="C859" s="5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45"/>
      <c r="B860" s="45"/>
      <c r="C860" s="5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45"/>
      <c r="B861" s="45"/>
      <c r="C861" s="5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45"/>
      <c r="B862" s="45"/>
      <c r="C862" s="5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45"/>
      <c r="B863" s="45"/>
      <c r="C863" s="5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45"/>
      <c r="B864" s="45"/>
      <c r="C864" s="5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45"/>
      <c r="B865" s="45"/>
      <c r="C865" s="5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45"/>
      <c r="B866" s="45"/>
      <c r="C866" s="5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45"/>
      <c r="B867" s="45"/>
      <c r="C867" s="5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45"/>
      <c r="B868" s="45"/>
      <c r="C868" s="5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45"/>
      <c r="B869" s="45"/>
      <c r="C869" s="5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45"/>
      <c r="B870" s="45"/>
      <c r="C870" s="5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45"/>
      <c r="B871" s="45"/>
      <c r="C871" s="5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45"/>
      <c r="B872" s="45"/>
      <c r="C872" s="5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45"/>
      <c r="B873" s="45"/>
      <c r="C873" s="5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45"/>
      <c r="B874" s="45"/>
      <c r="C874" s="5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45"/>
      <c r="B875" s="45"/>
      <c r="C875" s="5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45"/>
      <c r="B876" s="45"/>
      <c r="C876" s="5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45"/>
      <c r="B877" s="45"/>
      <c r="C877" s="5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45"/>
      <c r="B878" s="45"/>
      <c r="C878" s="5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45"/>
      <c r="B879" s="45"/>
      <c r="C879" s="5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45"/>
      <c r="B880" s="45"/>
      <c r="C880" s="5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45"/>
      <c r="B881" s="45"/>
      <c r="C881" s="5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45"/>
      <c r="B882" s="45"/>
      <c r="C882" s="5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45"/>
      <c r="B883" s="45"/>
      <c r="C883" s="5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45"/>
      <c r="B884" s="45"/>
      <c r="C884" s="5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45"/>
      <c r="B885" s="45"/>
      <c r="C885" s="5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45"/>
      <c r="B886" s="45"/>
      <c r="C886" s="5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45"/>
      <c r="B887" s="45"/>
      <c r="C887" s="5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45"/>
      <c r="B888" s="45"/>
      <c r="C888" s="5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45"/>
      <c r="B889" s="45"/>
      <c r="C889" s="5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45"/>
      <c r="B890" s="45"/>
      <c r="C890" s="5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45"/>
      <c r="B891" s="45"/>
      <c r="C891" s="5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45"/>
      <c r="B892" s="45"/>
      <c r="C892" s="5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45"/>
      <c r="B893" s="45"/>
      <c r="C893" s="5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45"/>
      <c r="B894" s="45"/>
      <c r="C894" s="5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45"/>
      <c r="B895" s="45"/>
      <c r="C895" s="5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45"/>
      <c r="B896" s="45"/>
      <c r="C896" s="5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45"/>
      <c r="B897" s="45"/>
      <c r="C897" s="5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45"/>
      <c r="B898" s="45"/>
      <c r="C898" s="5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45"/>
      <c r="B899" s="45"/>
      <c r="C899" s="5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45"/>
      <c r="B900" s="45"/>
      <c r="C900" s="5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45"/>
      <c r="B901" s="45"/>
      <c r="C901" s="5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45"/>
      <c r="B902" s="45"/>
      <c r="C902" s="5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45"/>
      <c r="B903" s="45"/>
      <c r="C903" s="5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45"/>
      <c r="B904" s="45"/>
      <c r="C904" s="5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45"/>
      <c r="B905" s="45"/>
      <c r="C905" s="5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45"/>
      <c r="B906" s="45"/>
      <c r="C906" s="5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45"/>
      <c r="B907" s="45"/>
      <c r="C907" s="5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45"/>
      <c r="B908" s="45"/>
      <c r="C908" s="5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45"/>
      <c r="B909" s="45"/>
      <c r="C909" s="5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45"/>
      <c r="B910" s="45"/>
      <c r="C910" s="5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45"/>
      <c r="B911" s="45"/>
      <c r="C911" s="5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45"/>
      <c r="B912" s="45"/>
      <c r="C912" s="5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45"/>
      <c r="B913" s="45"/>
      <c r="C913" s="5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45"/>
      <c r="B914" s="45"/>
      <c r="C914" s="5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45"/>
      <c r="B915" s="45"/>
      <c r="C915" s="5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45"/>
      <c r="B916" s="45"/>
      <c r="C916" s="5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45"/>
      <c r="B917" s="45"/>
      <c r="C917" s="5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45"/>
      <c r="B918" s="45"/>
      <c r="C918" s="5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45"/>
      <c r="B919" s="45"/>
      <c r="C919" s="5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45"/>
      <c r="B920" s="45"/>
      <c r="C920" s="5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45"/>
      <c r="B921" s="45"/>
      <c r="C921" s="5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45"/>
      <c r="B922" s="45"/>
      <c r="C922" s="5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45"/>
      <c r="B923" s="45"/>
      <c r="C923" s="5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45"/>
      <c r="B924" s="45"/>
      <c r="C924" s="5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45"/>
      <c r="B925" s="45"/>
      <c r="C925" s="5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45"/>
      <c r="B926" s="45"/>
      <c r="C926" s="5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45"/>
      <c r="B927" s="45"/>
      <c r="C927" s="5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45"/>
      <c r="B928" s="45"/>
      <c r="C928" s="5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45"/>
      <c r="B929" s="45"/>
      <c r="C929" s="5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45"/>
      <c r="B930" s="45"/>
      <c r="C930" s="5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45"/>
      <c r="B931" s="45"/>
      <c r="C931" s="5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45"/>
      <c r="B932" s="45"/>
      <c r="C932" s="5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45"/>
      <c r="B933" s="45"/>
      <c r="C933" s="5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45"/>
      <c r="B934" s="45"/>
      <c r="C934" s="5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45"/>
      <c r="B935" s="45"/>
      <c r="C935" s="5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45"/>
      <c r="B936" s="45"/>
      <c r="C936" s="5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45"/>
      <c r="B937" s="45"/>
      <c r="C937" s="5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45"/>
      <c r="B938" s="45"/>
      <c r="C938" s="5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45"/>
      <c r="B939" s="45"/>
      <c r="C939" s="5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45"/>
      <c r="B940" s="45"/>
      <c r="C940" s="5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45"/>
      <c r="B941" s="45"/>
      <c r="C941" s="5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45"/>
      <c r="B942" s="45"/>
      <c r="C942" s="5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45"/>
      <c r="B943" s="45"/>
      <c r="C943" s="5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45"/>
      <c r="B944" s="45"/>
      <c r="C944" s="5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45"/>
      <c r="B945" s="45"/>
      <c r="C945" s="5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45"/>
      <c r="B946" s="45"/>
      <c r="C946" s="5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45"/>
      <c r="B947" s="45"/>
      <c r="C947" s="5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45"/>
      <c r="B948" s="45"/>
      <c r="C948" s="5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45"/>
      <c r="B949" s="45"/>
      <c r="C949" s="5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45"/>
      <c r="B950" s="45"/>
      <c r="C950" s="5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45"/>
      <c r="B951" s="45"/>
      <c r="C951" s="5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45"/>
      <c r="B952" s="45"/>
      <c r="C952" s="5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45"/>
      <c r="B953" s="45"/>
      <c r="C953" s="5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45"/>
      <c r="B954" s="45"/>
      <c r="C954" s="5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45"/>
      <c r="B955" s="45"/>
      <c r="C955" s="5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45"/>
      <c r="B956" s="45"/>
      <c r="C956" s="5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45"/>
      <c r="B957" s="45"/>
      <c r="C957" s="5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45"/>
      <c r="B958" s="45"/>
      <c r="C958" s="5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45"/>
      <c r="B959" s="45"/>
      <c r="C959" s="5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45"/>
      <c r="B960" s="45"/>
      <c r="C960" s="5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45"/>
      <c r="B961" s="45"/>
      <c r="C961" s="5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45"/>
      <c r="B962" s="45"/>
      <c r="C962" s="5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45"/>
      <c r="B963" s="45"/>
      <c r="C963" s="5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45"/>
      <c r="B964" s="45"/>
      <c r="C964" s="5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45"/>
      <c r="B965" s="45"/>
      <c r="C965" s="5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45"/>
      <c r="B966" s="45"/>
      <c r="C966" s="5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45"/>
      <c r="B967" s="45"/>
      <c r="C967" s="5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45"/>
      <c r="B968" s="45"/>
      <c r="C968" s="5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45"/>
      <c r="B969" s="45"/>
      <c r="C969" s="5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45"/>
      <c r="B970" s="45"/>
      <c r="C970" s="5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45"/>
      <c r="B971" s="45"/>
      <c r="C971" s="5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45"/>
      <c r="B972" s="45"/>
      <c r="C972" s="5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45"/>
      <c r="B973" s="45"/>
      <c r="C973" s="5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45"/>
      <c r="B974" s="45"/>
      <c r="C974" s="5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45"/>
      <c r="B975" s="45"/>
      <c r="C975" s="5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45"/>
      <c r="B976" s="45"/>
      <c r="C976" s="5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45"/>
      <c r="B977" s="45"/>
      <c r="C977" s="5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45"/>
      <c r="B978" s="45"/>
      <c r="C978" s="5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45"/>
      <c r="B979" s="45"/>
      <c r="C979" s="5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45"/>
      <c r="B980" s="45"/>
      <c r="C980" s="5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45"/>
      <c r="B981" s="45"/>
      <c r="C981" s="5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45"/>
      <c r="B982" s="45"/>
      <c r="C982" s="5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45"/>
      <c r="B983" s="45"/>
      <c r="C983" s="5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45"/>
      <c r="B984" s="45"/>
      <c r="C984" s="5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45"/>
      <c r="B985" s="45"/>
      <c r="C985" s="5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45"/>
      <c r="B986" s="45"/>
      <c r="C986" s="5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45"/>
      <c r="B987" s="45"/>
      <c r="C987" s="5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45"/>
      <c r="B988" s="45"/>
      <c r="C988" s="5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45"/>
      <c r="B989" s="45"/>
      <c r="C989" s="5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>
      <c r="A990" s="45"/>
      <c r="B990" s="45"/>
      <c r="C990" s="5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>
      <c r="A991" s="45"/>
      <c r="B991" s="45"/>
      <c r="C991" s="5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>
      <c r="A992" s="45"/>
      <c r="B992" s="45"/>
      <c r="C992" s="5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>
      <c r="A993" s="45"/>
      <c r="B993" s="45"/>
      <c r="C993" s="5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>
      <c r="A994" s="45"/>
      <c r="B994" s="45"/>
      <c r="C994" s="5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</sheetData>
  <mergeCells count="2">
    <mergeCell ref="A1:C1"/>
    <mergeCell ref="A17:C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6.5"/>
    <col customWidth="1" min="6" max="6" width="10.13"/>
  </cols>
  <sheetData>
    <row r="1">
      <c r="A1" s="58" t="s">
        <v>56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>
      <c r="D2" s="60" t="s">
        <v>57</v>
      </c>
      <c r="F2" s="60" t="s">
        <v>58</v>
      </c>
    </row>
    <row r="3">
      <c r="A3" s="60" t="s">
        <v>59</v>
      </c>
      <c r="B3" s="60" t="s">
        <v>60</v>
      </c>
    </row>
    <row r="4">
      <c r="A4" s="60">
        <v>1500.0</v>
      </c>
      <c r="B4" s="60" t="s">
        <v>8</v>
      </c>
      <c r="D4" s="60">
        <f t="array" ref="D4:D20">IF('___'!B4:B20 = 'Расчет'!E4, '___'!A4:A20, "")</f>
        <v>1500</v>
      </c>
      <c r="F4" s="60">
        <v>1000.0</v>
      </c>
    </row>
    <row r="5">
      <c r="A5" s="61">
        <f t="shared" ref="A5:A11" si="1">A4+500</f>
        <v>2000</v>
      </c>
      <c r="B5" s="60" t="s">
        <v>8</v>
      </c>
      <c r="D5" s="61">
        <v>2000.0</v>
      </c>
      <c r="F5" s="60">
        <v>1500.0</v>
      </c>
    </row>
    <row r="6">
      <c r="A6" s="61">
        <f t="shared" si="1"/>
        <v>2500</v>
      </c>
      <c r="B6" s="60" t="s">
        <v>8</v>
      </c>
      <c r="D6" s="61">
        <v>2500.0</v>
      </c>
      <c r="F6" s="60">
        <v>2000.0</v>
      </c>
    </row>
    <row r="7">
      <c r="A7" s="61">
        <f t="shared" si="1"/>
        <v>3000</v>
      </c>
      <c r="B7" s="60" t="s">
        <v>8</v>
      </c>
      <c r="D7" s="61">
        <v>3000.0</v>
      </c>
      <c r="F7" s="60">
        <v>2800.0</v>
      </c>
    </row>
    <row r="8">
      <c r="A8" s="61">
        <f t="shared" si="1"/>
        <v>3500</v>
      </c>
      <c r="B8" s="60" t="s">
        <v>8</v>
      </c>
      <c r="D8" s="61">
        <v>3500.0</v>
      </c>
    </row>
    <row r="9">
      <c r="A9" s="61">
        <f t="shared" si="1"/>
        <v>4000</v>
      </c>
      <c r="B9" s="60" t="s">
        <v>8</v>
      </c>
      <c r="D9" s="61">
        <v>4000.0</v>
      </c>
    </row>
    <row r="10">
      <c r="A10" s="61">
        <f t="shared" si="1"/>
        <v>4500</v>
      </c>
      <c r="B10" s="60" t="s">
        <v>8</v>
      </c>
      <c r="D10" s="61">
        <v>4500.0</v>
      </c>
    </row>
    <row r="11">
      <c r="A11" s="61">
        <f t="shared" si="1"/>
        <v>5000</v>
      </c>
      <c r="B11" s="60" t="s">
        <v>8</v>
      </c>
      <c r="D11" s="61">
        <v>5000.0</v>
      </c>
    </row>
    <row r="12">
      <c r="A12" s="62">
        <v>0.3</v>
      </c>
      <c r="B12" s="60" t="s">
        <v>61</v>
      </c>
      <c r="D12" s="62" t="s">
        <v>62</v>
      </c>
    </row>
    <row r="13">
      <c r="A13" s="62">
        <v>0.5</v>
      </c>
      <c r="B13" s="60" t="s">
        <v>61</v>
      </c>
      <c r="D13" s="62" t="s">
        <v>62</v>
      </c>
    </row>
    <row r="14">
      <c r="A14" s="62">
        <v>0.7</v>
      </c>
      <c r="B14" s="60" t="s">
        <v>61</v>
      </c>
      <c r="D14" s="62" t="s">
        <v>62</v>
      </c>
    </row>
    <row r="15">
      <c r="A15" s="62">
        <v>1.0</v>
      </c>
      <c r="B15" s="60" t="s">
        <v>61</v>
      </c>
      <c r="D15" s="62" t="s">
        <v>62</v>
      </c>
    </row>
    <row r="16">
      <c r="D16" s="61" t="s">
        <v>62</v>
      </c>
    </row>
    <row r="17">
      <c r="D17" s="61" t="s">
        <v>62</v>
      </c>
    </row>
    <row r="18">
      <c r="A18" s="58" t="s">
        <v>63</v>
      </c>
      <c r="B18" s="59"/>
      <c r="C18" s="59"/>
      <c r="D18" s="59" t="s">
        <v>62</v>
      </c>
      <c r="E18" s="59"/>
      <c r="F18" s="59"/>
      <c r="G18" s="59"/>
      <c r="H18" s="59"/>
      <c r="I18" s="59"/>
      <c r="J18" s="59"/>
      <c r="K18" s="59"/>
    </row>
    <row r="19">
      <c r="D19" s="61" t="s">
        <v>62</v>
      </c>
    </row>
    <row r="20">
      <c r="D20" s="61" t="s">
        <v>62</v>
      </c>
    </row>
    <row r="21">
      <c r="A21" s="60" t="s">
        <v>64</v>
      </c>
      <c r="B21" s="63" t="s">
        <v>65</v>
      </c>
      <c r="C21" s="63" t="s">
        <v>66</v>
      </c>
      <c r="D21" s="63" t="s">
        <v>67</v>
      </c>
      <c r="E21" s="63" t="s">
        <v>68</v>
      </c>
    </row>
    <row r="22">
      <c r="A22" s="60" t="s">
        <v>69</v>
      </c>
      <c r="B22" s="64" t="s">
        <v>70</v>
      </c>
      <c r="C22" s="64" t="s">
        <v>71</v>
      </c>
      <c r="D22" s="64" t="s">
        <v>72</v>
      </c>
      <c r="E22" s="64" t="s">
        <v>73</v>
      </c>
    </row>
    <row r="23">
      <c r="A23" s="60" t="s">
        <v>74</v>
      </c>
      <c r="B23" s="64" t="s">
        <v>75</v>
      </c>
      <c r="C23" s="64" t="s">
        <v>75</v>
      </c>
      <c r="D23" s="64" t="s">
        <v>75</v>
      </c>
      <c r="E23" s="64" t="s">
        <v>75</v>
      </c>
    </row>
    <row r="24">
      <c r="A24" s="60" t="s">
        <v>76</v>
      </c>
      <c r="B24" s="64" t="s">
        <v>75</v>
      </c>
      <c r="C24" s="64" t="s">
        <v>75</v>
      </c>
      <c r="D24" s="64" t="s">
        <v>77</v>
      </c>
      <c r="E24" s="64" t="s">
        <v>77</v>
      </c>
    </row>
    <row r="25">
      <c r="A25" s="60" t="s">
        <v>78</v>
      </c>
      <c r="B25" s="64" t="s">
        <v>75</v>
      </c>
      <c r="C25" s="64" t="s">
        <v>75</v>
      </c>
      <c r="D25" s="64" t="s">
        <v>77</v>
      </c>
      <c r="E25" s="64" t="s">
        <v>77</v>
      </c>
    </row>
    <row r="26">
      <c r="A26" s="60" t="s">
        <v>79</v>
      </c>
      <c r="B26" s="64" t="s">
        <v>75</v>
      </c>
      <c r="C26" s="64" t="s">
        <v>75</v>
      </c>
      <c r="D26" s="64" t="s">
        <v>77</v>
      </c>
      <c r="E26" s="64" t="s">
        <v>77</v>
      </c>
    </row>
    <row r="27">
      <c r="A27" s="60" t="s">
        <v>80</v>
      </c>
      <c r="B27" s="64" t="s">
        <v>75</v>
      </c>
      <c r="C27" s="64" t="s">
        <v>77</v>
      </c>
      <c r="D27" s="64" t="s">
        <v>77</v>
      </c>
      <c r="E27" s="64" t="s">
        <v>77</v>
      </c>
    </row>
    <row r="28">
      <c r="A28" s="60" t="s">
        <v>81</v>
      </c>
      <c r="B28" s="64" t="s">
        <v>82</v>
      </c>
      <c r="C28" s="64" t="s">
        <v>82</v>
      </c>
      <c r="D28" s="64" t="s">
        <v>83</v>
      </c>
      <c r="E28" s="64" t="s">
        <v>83</v>
      </c>
    </row>
    <row r="29">
      <c r="A29" s="60" t="s">
        <v>84</v>
      </c>
      <c r="B29" s="64">
        <v>4400.0</v>
      </c>
      <c r="C29" s="64">
        <v>3600.0</v>
      </c>
      <c r="D29" s="64">
        <v>2800.0</v>
      </c>
      <c r="E29" s="64">
        <v>2400.0</v>
      </c>
    </row>
    <row r="30">
      <c r="B30" s="65"/>
      <c r="C30" s="65"/>
      <c r="D30" s="65"/>
      <c r="E30" s="65"/>
    </row>
    <row r="31">
      <c r="B31" s="65"/>
      <c r="C31" s="65"/>
      <c r="D31" s="65"/>
      <c r="E31" s="65"/>
    </row>
    <row r="32">
      <c r="A32" s="60" t="s">
        <v>85</v>
      </c>
      <c r="B32" s="66" t="s">
        <v>86</v>
      </c>
      <c r="C32" s="66" t="s">
        <v>5</v>
      </c>
      <c r="D32" s="66" t="s">
        <v>87</v>
      </c>
      <c r="E32" s="65"/>
    </row>
    <row r="33">
      <c r="A33" s="67" t="s">
        <v>88</v>
      </c>
      <c r="B33" s="68" t="s">
        <v>70</v>
      </c>
      <c r="C33" s="68" t="s">
        <v>89</v>
      </c>
      <c r="D33" s="68" t="s">
        <v>90</v>
      </c>
      <c r="E33" s="65"/>
    </row>
    <row r="34">
      <c r="A34" s="67" t="s">
        <v>91</v>
      </c>
      <c r="B34" s="68" t="s">
        <v>92</v>
      </c>
      <c r="C34" s="68" t="s">
        <v>93</v>
      </c>
      <c r="D34" s="68" t="s">
        <v>94</v>
      </c>
      <c r="E34" s="65"/>
    </row>
    <row r="35">
      <c r="A35" s="67" t="s">
        <v>81</v>
      </c>
      <c r="B35" s="68" t="s">
        <v>95</v>
      </c>
      <c r="C35" s="68" t="s">
        <v>95</v>
      </c>
      <c r="D35" s="68" t="s">
        <v>96</v>
      </c>
      <c r="E35" s="65"/>
    </row>
    <row r="36">
      <c r="A36" s="69" t="s">
        <v>97</v>
      </c>
      <c r="B36" s="70" t="s">
        <v>98</v>
      </c>
      <c r="C36" s="70" t="s">
        <v>99</v>
      </c>
      <c r="D36" s="70" t="s">
        <v>100</v>
      </c>
      <c r="E36" s="65"/>
    </row>
    <row r="37">
      <c r="A37" s="69" t="s">
        <v>101</v>
      </c>
      <c r="B37" s="71" t="s">
        <v>102</v>
      </c>
      <c r="C37" s="71" t="s">
        <v>103</v>
      </c>
      <c r="D37" s="71" t="s">
        <v>104</v>
      </c>
      <c r="E37" s="65"/>
    </row>
    <row r="38">
      <c r="A38" s="72" t="s">
        <v>105</v>
      </c>
      <c r="B38" s="73" t="s">
        <v>106</v>
      </c>
      <c r="C38" s="74" t="s">
        <v>107</v>
      </c>
      <c r="D38" s="74" t="s">
        <v>108</v>
      </c>
      <c r="E38" s="65"/>
    </row>
    <row r="39">
      <c r="B39" s="64">
        <v>4400.0</v>
      </c>
      <c r="C39" s="64">
        <v>3600.0</v>
      </c>
      <c r="D39" s="64">
        <v>2800.0</v>
      </c>
      <c r="E39" s="65"/>
    </row>
    <row r="44">
      <c r="A44" s="58" t="s">
        <v>109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</row>
    <row r="45">
      <c r="A45" s="11"/>
      <c r="B45" s="11"/>
      <c r="C45" s="11"/>
      <c r="D45" s="11"/>
      <c r="E45" s="75"/>
      <c r="F45" s="7"/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2" t="s">
        <v>0</v>
      </c>
      <c r="B46" s="3" t="s">
        <v>1</v>
      </c>
      <c r="C46" s="4"/>
      <c r="D46" s="5"/>
      <c r="E46" s="6" t="str">
        <f t="shared" ref="E46:E49" si="2">'фикс '!E2</f>
        <v>#REF!</v>
      </c>
      <c r="F46" s="7" t="s">
        <v>2</v>
      </c>
      <c r="G46" s="8"/>
      <c r="H46" s="9"/>
      <c r="I46" s="9"/>
      <c r="J46" s="9"/>
      <c r="K46" s="9"/>
      <c r="L46" s="9"/>
      <c r="M46" s="9"/>
      <c r="N46" s="9" t="str">
        <f>IF(E46&lt;51,1,if(E46&lt;251,2,3))</f>
        <v>#REF!</v>
      </c>
      <c r="O46" s="9"/>
      <c r="P46" s="9"/>
      <c r="Q46" s="9"/>
      <c r="R46" s="9"/>
      <c r="S46" s="9"/>
      <c r="T46" s="9"/>
      <c r="U46" s="9"/>
      <c r="V46" s="9"/>
      <c r="W46" s="9"/>
    </row>
    <row r="47">
      <c r="A47" s="2" t="s">
        <v>3</v>
      </c>
      <c r="B47" s="3" t="s">
        <v>110</v>
      </c>
      <c r="C47" s="4"/>
      <c r="D47" s="5"/>
      <c r="E47" s="6" t="str">
        <f t="shared" si="2"/>
        <v>#REF!</v>
      </c>
      <c r="F47" s="11"/>
      <c r="I47" s="9"/>
      <c r="J47" s="9"/>
      <c r="K47" s="9"/>
      <c r="L47" s="9"/>
      <c r="M47" s="9"/>
      <c r="N47" s="9" t="str">
        <f>if(N48&lt;50%,4,if(N48&lt;70%,3,if(N48&lt;100%,2,1)))</f>
        <v>#REF!</v>
      </c>
      <c r="O47" s="9"/>
      <c r="P47" s="9"/>
      <c r="Q47" s="9"/>
      <c r="R47" s="9"/>
      <c r="S47" s="9"/>
      <c r="T47" s="9"/>
      <c r="U47" s="9"/>
      <c r="V47" s="9"/>
      <c r="W47" s="9"/>
    </row>
    <row r="48">
      <c r="A48" s="2" t="s">
        <v>9</v>
      </c>
      <c r="B48" s="3" t="s">
        <v>111</v>
      </c>
      <c r="C48" s="4"/>
      <c r="D48" s="5"/>
      <c r="E48" s="6" t="str">
        <f t="shared" si="2"/>
        <v>#REF!</v>
      </c>
      <c r="F48" s="14" t="str">
        <f>IF(E48&lt;1250,"⚠️ Низкая компенсация снижает вовлечённость. По данным Alter, при покрытии менее 50% стоимости сессии утилизация бенефита падает в среднем в 2 раза","")</f>
        <v>#REF!</v>
      </c>
      <c r="I48" s="9"/>
      <c r="J48" s="14"/>
      <c r="M48" s="76"/>
      <c r="N48" s="76" t="str">
        <f>ROUNDUP(E48/'___'!$D$39,1)</f>
        <v>#REF!</v>
      </c>
      <c r="O48" s="9"/>
      <c r="P48" s="9"/>
      <c r="Q48" s="9"/>
      <c r="R48" s="9"/>
      <c r="S48" s="9"/>
      <c r="T48" s="9"/>
      <c r="U48" s="9"/>
      <c r="V48" s="9"/>
      <c r="W48" s="9"/>
    </row>
    <row r="49">
      <c r="A49" s="2" t="s">
        <v>11</v>
      </c>
      <c r="B49" s="3" t="s">
        <v>112</v>
      </c>
      <c r="C49" s="4"/>
      <c r="D49" s="5"/>
      <c r="E49" s="6" t="str">
        <f t="shared" si="2"/>
        <v>#REF!</v>
      </c>
      <c r="F49" s="14" t="str">
        <f>IF(E49='___'!C83,"⚠️ Дополнительный барьер снижает активацию. По данным Alter, при непрямом доступе бенефитом воспользуется в 3 раза меньше сотрудников. Рекомендуем прямой доступ - так больше сотрудников воспользуются бенефитом, и программа принесёт реальный результат.","")</f>
        <v>#REF!</v>
      </c>
      <c r="I49" s="9"/>
      <c r="J49" s="9"/>
      <c r="K49" s="9"/>
      <c r="L49" s="9"/>
      <c r="M49" s="9"/>
      <c r="N49" s="9" t="str">
        <f>IF(E49='___'!C82,1,4)</f>
        <v>#REF!</v>
      </c>
      <c r="O49" s="9"/>
      <c r="P49" s="9"/>
      <c r="Q49" s="9"/>
      <c r="R49" s="9"/>
      <c r="S49" s="9"/>
      <c r="T49" s="9"/>
      <c r="U49" s="9"/>
      <c r="V49" s="9"/>
      <c r="W49" s="9"/>
    </row>
    <row r="50">
      <c r="B50" s="1"/>
    </row>
    <row r="51">
      <c r="B51" s="1"/>
    </row>
    <row r="52">
      <c r="B52" s="1"/>
      <c r="R52" s="62"/>
    </row>
    <row r="53">
      <c r="A53" s="77" t="s">
        <v>113</v>
      </c>
    </row>
    <row r="54">
      <c r="A54" s="16" t="s">
        <v>114</v>
      </c>
      <c r="B54" s="16" t="s">
        <v>16</v>
      </c>
      <c r="C54" s="16" t="s">
        <v>17</v>
      </c>
      <c r="D54" s="16" t="s">
        <v>18</v>
      </c>
      <c r="E54" s="16" t="s">
        <v>19</v>
      </c>
      <c r="F54" s="16" t="s">
        <v>115</v>
      </c>
      <c r="G54" s="16" t="s">
        <v>116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7" t="s">
        <v>117</v>
      </c>
      <c r="B55" s="19" t="str">
        <f>VLOOKUP(O55,'___'!$B$92:$F$95,HLOOKUP($N$46,'___'!$D$89:$F$90,2,0),0)</f>
        <v>#REF!</v>
      </c>
      <c r="C55" s="19" t="str">
        <f t="shared" ref="C55:C57" si="3">ROUND(B55*$E$46,0)</f>
        <v>#REF!</v>
      </c>
      <c r="D55" s="19" t="str">
        <f>VLOOKUP(O55,'___'!$B$92:$F$95,2,0)</f>
        <v>#REF!</v>
      </c>
      <c r="E55" s="19" t="str">
        <f t="shared" ref="E55:E57" si="4">C55*D55</f>
        <v>#REF!</v>
      </c>
      <c r="F55" s="20" t="str">
        <f t="shared" ref="F55:F57" si="5">$E$48</f>
        <v>#REF!</v>
      </c>
      <c r="G55" s="21" t="str">
        <f t="shared" ref="G55:G57" si="6">if($J$48="Выберите правильный размер компенсации","Выберите правильный размер компенсации",E55*F55)</f>
        <v>#REF!</v>
      </c>
      <c r="L55" s="60"/>
      <c r="M55" s="60"/>
      <c r="N55" s="60">
        <v>4.0</v>
      </c>
      <c r="O55" s="61" t="str">
        <f t="shared" ref="O55:O57" si="7">"Категория "&amp;MAX(N55,$N$49,$N$47)</f>
        <v>#REF!</v>
      </c>
    </row>
    <row r="56">
      <c r="A56" s="17" t="s">
        <v>118</v>
      </c>
      <c r="B56" s="19" t="str">
        <f>VLOOKUP(O56,'___'!$B$92:$F$95,HLOOKUP($N$46,'___'!$D$89:$F$90,2,0),0)</f>
        <v>#REF!</v>
      </c>
      <c r="C56" s="19" t="str">
        <f t="shared" si="3"/>
        <v>#REF!</v>
      </c>
      <c r="D56" s="19" t="str">
        <f>VLOOKUP(O56,'___'!$B$92:$F$95,2,0)</f>
        <v>#REF!</v>
      </c>
      <c r="E56" s="19" t="str">
        <f t="shared" si="4"/>
        <v>#REF!</v>
      </c>
      <c r="F56" s="20" t="str">
        <f t="shared" si="5"/>
        <v>#REF!</v>
      </c>
      <c r="G56" s="21" t="str">
        <f t="shared" si="6"/>
        <v>#REF!</v>
      </c>
      <c r="L56" s="60"/>
      <c r="M56" s="60"/>
      <c r="N56" s="60">
        <v>3.0</v>
      </c>
      <c r="O56" s="61" t="str">
        <f t="shared" si="7"/>
        <v>#REF!</v>
      </c>
    </row>
    <row r="57">
      <c r="A57" s="22" t="s">
        <v>119</v>
      </c>
      <c r="B57" s="19" t="str">
        <f>VLOOKUP(O57,'___'!$B$92:$F$95,HLOOKUP($N$46,'___'!$D$89:$F$90,2,0),0)</f>
        <v>#REF!</v>
      </c>
      <c r="C57" s="19" t="str">
        <f t="shared" si="3"/>
        <v>#REF!</v>
      </c>
      <c r="D57" s="19" t="str">
        <f>VLOOKUP(O57,'___'!$B$92:$F$95,2,0)</f>
        <v>#REF!</v>
      </c>
      <c r="E57" s="19" t="str">
        <f t="shared" si="4"/>
        <v>#REF!</v>
      </c>
      <c r="F57" s="20" t="str">
        <f t="shared" si="5"/>
        <v>#REF!</v>
      </c>
      <c r="G57" s="21" t="str">
        <f t="shared" si="6"/>
        <v>#REF!</v>
      </c>
      <c r="L57" s="60"/>
      <c r="M57" s="60"/>
      <c r="N57" s="60">
        <v>1.0</v>
      </c>
      <c r="O57" s="61" t="str">
        <f t="shared" si="7"/>
        <v>#REF!</v>
      </c>
    </row>
    <row r="58">
      <c r="B58" s="1"/>
    </row>
    <row r="59">
      <c r="B59" s="1"/>
    </row>
    <row r="60">
      <c r="B60" s="1"/>
    </row>
    <row r="61">
      <c r="A61" s="58" t="s">
        <v>120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>
      <c r="B62" s="1"/>
    </row>
    <row r="63">
      <c r="B63" s="1"/>
    </row>
    <row r="64">
      <c r="A64" s="2" t="s">
        <v>0</v>
      </c>
      <c r="B64" s="3" t="s">
        <v>1</v>
      </c>
      <c r="C64" s="4"/>
      <c r="D64" s="5"/>
      <c r="E64" s="6">
        <f>'Расчет'!E2</f>
        <v>500</v>
      </c>
      <c r="F64" s="7" t="s">
        <v>2</v>
      </c>
      <c r="G64" s="8"/>
      <c r="H64" s="9"/>
      <c r="I64" s="9"/>
      <c r="J64" s="9"/>
      <c r="K64" s="9"/>
      <c r="L64" s="9"/>
      <c r="M64" s="9"/>
      <c r="N64" s="9">
        <f>IF(E64&lt;51,1,if(E64&lt;251,2,3))</f>
        <v>3</v>
      </c>
      <c r="O64" s="9"/>
      <c r="P64" s="9"/>
      <c r="Q64" s="9"/>
      <c r="R64" s="9"/>
      <c r="S64" s="9"/>
      <c r="T64" s="9"/>
      <c r="U64" s="9"/>
      <c r="V64" s="9"/>
      <c r="W64" s="9"/>
    </row>
    <row r="65">
      <c r="A65" s="2" t="s">
        <v>3</v>
      </c>
      <c r="B65" s="3" t="s">
        <v>121</v>
      </c>
      <c r="C65" s="4"/>
      <c r="D65" s="5"/>
      <c r="E65" s="6" t="str">
        <f>'Расчет'!E3</f>
        <v>Оптимальный</v>
      </c>
      <c r="F65" s="11" t="str">
        <f>HLOOKUP(E65,'___'!$B$32:$D$38,7,0)</f>
        <v>Все форматы терапии, доступ к 80% психологов сервиса
Вы готовы запустить полноценную программу поддержки при контролируемом бюджете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2" t="s">
        <v>6</v>
      </c>
      <c r="B66" s="3" t="s">
        <v>122</v>
      </c>
      <c r="C66" s="4"/>
      <c r="D66" s="5"/>
      <c r="E66" s="6" t="str">
        <f>'Расчет'!E4</f>
        <v>Рубли</v>
      </c>
      <c r="F66" s="12"/>
      <c r="G66" s="9"/>
      <c r="H66" s="9"/>
      <c r="I66" s="9"/>
      <c r="J66" s="9"/>
      <c r="K66" s="9"/>
      <c r="L66" s="9"/>
      <c r="M66" s="9"/>
      <c r="N66" s="9">
        <f>if(N67&lt;50%,4,if(N67&lt;70%,3,if(N67&lt;100%,2,1)))</f>
        <v>1</v>
      </c>
      <c r="O66" s="9"/>
      <c r="P66" s="9"/>
      <c r="Q66" s="9"/>
      <c r="R66" s="9"/>
      <c r="S66" s="9"/>
      <c r="T66" s="9"/>
      <c r="U66" s="9"/>
      <c r="V66" s="9"/>
      <c r="W66" s="9"/>
    </row>
    <row r="67">
      <c r="A67" s="2" t="s">
        <v>9</v>
      </c>
      <c r="B67" s="3" t="s">
        <v>10</v>
      </c>
      <c r="C67" s="4"/>
      <c r="D67" s="5"/>
      <c r="E67" s="6">
        <f>'Расчет'!E5</f>
        <v>3500</v>
      </c>
      <c r="F67" s="14" t="str">
        <f>IF(OR(AND(E66="Процент",E67&gt;1),AND(E66&lt;&gt;"Процент",E67&lt;2)),
   "Выберите правильный размер компенсации",
   IF(AND(E66&lt;&gt;"Процент",E67&lt;1999,E65='___'!$B$32),
             "⚠️ Низкая компенсация снижает вовлечённость. По данным Alter, при покрытии менее 2500 р. утилизация бенефита падает в среднем 2 раза",
IF(AND(E66&lt;&gt;"Процент",E67&lt;1999,E65='___'!$C$32),
             "⚠️ Низкая компенсация снижает вовлечённость. По данным Alter, при покрытии менее 2000 р. утилизация бенефита падает в среднем в 2 раза",
             IF(E66&lt;&gt;"Процент",
               "",
               IF(E67=0.3,
                  "⚠️ Низкая компенсация. При покрытии до 50% большинство сотрудников воспринимают бенефит как номинальный и не пользуются им.",
                IF(E67=0.5,
                  "Сотрудник оплачивает половину стоимости сессии самостоятельно. Финансовая нагрузка может стать причиной, по которой часть сотрудников не воспользуется бенефитом или быстро перестанет ходить.",
                     "✅ Оптимальный вариант. Финансовый барьер для сотрудника минимален - больше сотрудников воспользуются бенефитом и получат реальную поддержку.")
               )
             )
    )
))</f>
        <v/>
      </c>
      <c r="I67" s="9"/>
      <c r="J67" s="9"/>
      <c r="K67" s="76"/>
      <c r="L67" s="76"/>
      <c r="M67" s="76"/>
      <c r="N67" s="76">
        <f>ROUNDUP(if(E66='___'!A82,E67,E67/VLOOKUP(E65,'___'!$E$82:$F$84,2,0)),1)</f>
        <v>1</v>
      </c>
      <c r="O67" s="9"/>
      <c r="P67" s="9"/>
      <c r="Q67" s="9"/>
      <c r="R67" s="9"/>
      <c r="S67" s="9"/>
      <c r="T67" s="9"/>
      <c r="U67" s="9"/>
      <c r="V67" s="9"/>
      <c r="W67" s="9"/>
    </row>
    <row r="68">
      <c r="A68" s="2" t="s">
        <v>11</v>
      </c>
      <c r="B68" s="3" t="s">
        <v>123</v>
      </c>
      <c r="C68" s="4"/>
      <c r="D68" s="5"/>
      <c r="E68" s="6" t="str">
        <f>'Расчет'!E6</f>
        <v>Прямой доступ</v>
      </c>
      <c r="F68" s="14" t="str">
        <f>IF(E68='___'!C83,"⚠️ Дополнительный барьер снижает активацию. По данным Alter, при непрямом доступе бенефитом воспользуется в 3 раза меньше сотрудников. Рекомендуем прямой доступ - так больше сотрудников воспользуются бенефитом, и программа принесёт реальный результат.","")</f>
        <v/>
      </c>
      <c r="I68" s="9"/>
      <c r="J68" s="9"/>
      <c r="K68" s="9"/>
      <c r="L68" s="9"/>
      <c r="M68" s="9"/>
      <c r="N68" s="9">
        <f>IF(E68='___'!C82,1,4)</f>
        <v>1</v>
      </c>
      <c r="O68" s="9"/>
      <c r="P68" s="9"/>
      <c r="Q68" s="9"/>
      <c r="R68" s="9"/>
      <c r="S68" s="9"/>
      <c r="T68" s="9"/>
      <c r="U68" s="9"/>
      <c r="V68" s="9"/>
      <c r="W68" s="9"/>
    </row>
    <row r="69">
      <c r="B69" s="1"/>
    </row>
    <row r="70">
      <c r="B70" s="1"/>
    </row>
    <row r="71">
      <c r="B71" s="1"/>
      <c r="R71" s="62"/>
    </row>
    <row r="72">
      <c r="A72" s="77" t="s">
        <v>113</v>
      </c>
    </row>
    <row r="73">
      <c r="A73" s="16" t="s">
        <v>124</v>
      </c>
      <c r="B73" s="16" t="s">
        <v>16</v>
      </c>
      <c r="C73" s="16" t="s">
        <v>17</v>
      </c>
      <c r="D73" s="16" t="s">
        <v>18</v>
      </c>
      <c r="E73" s="16" t="s">
        <v>19</v>
      </c>
      <c r="F73" s="16" t="s">
        <v>20</v>
      </c>
      <c r="G73" s="16" t="s">
        <v>116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7" t="s">
        <v>125</v>
      </c>
      <c r="B74" s="18">
        <f>VLOOKUP(O74,'___'!$B$92:$F$95,HLOOKUP($N$64,'___'!$D$89:$F$90,2,0),0)</f>
        <v>0.03</v>
      </c>
      <c r="C74" s="19">
        <f t="shared" ref="C74:C76" si="8">ROUND(B74*$E$64,0)</f>
        <v>15</v>
      </c>
      <c r="D74" s="19">
        <f>VLOOKUP(O74,'___'!$B$92:$F$95,2,0)</f>
        <v>5</v>
      </c>
      <c r="E74" s="19">
        <f t="shared" ref="E74:E76" si="9">C74*D74</f>
        <v>75</v>
      </c>
      <c r="F74" s="20">
        <f>if($F$67="Выберите правильный размер компенсации","Выберите правильный размер компенсации",IF($E$66="Рубли",$E$67,HLOOKUP($E$65,'___'!$B$32:$D$39,8,0)*$E$67))</f>
        <v>3500</v>
      </c>
      <c r="G74" s="21">
        <f t="shared" ref="G74:G76" si="10">if($F$67="Выберите правильный размер компенсации","Выберите правильный размер компенсации",E74*F74)</f>
        <v>262500</v>
      </c>
      <c r="L74" s="60"/>
      <c r="M74" s="60"/>
      <c r="N74" s="60">
        <v>4.0</v>
      </c>
      <c r="O74" s="61" t="str">
        <f t="shared" ref="O74:O76" si="11">"Категория "&amp;MAX(N74,$N$68,$N$66)</f>
        <v>Категория 4</v>
      </c>
    </row>
    <row r="75">
      <c r="A75" s="17" t="s">
        <v>126</v>
      </c>
      <c r="B75" s="18">
        <f>VLOOKUP(O75,'___'!$B$92:$F$95,HLOOKUP($N$64,'___'!$D$89:$F$90,2,0),0)</f>
        <v>0.05</v>
      </c>
      <c r="C75" s="19">
        <f t="shared" si="8"/>
        <v>25</v>
      </c>
      <c r="D75" s="19">
        <f>VLOOKUP(O75,'___'!$B$92:$F$95,2,0)</f>
        <v>7</v>
      </c>
      <c r="E75" s="19">
        <f t="shared" si="9"/>
        <v>175</v>
      </c>
      <c r="F75" s="20">
        <f>if($F$67="Выберите правильный размер компенсации","Выберите правильный размер компенсации",IF($E$66="Рубли",$E$67,HLOOKUP($E$65,'___'!$B$32:$D$39,8,0)*$E$67))</f>
        <v>3500</v>
      </c>
      <c r="G75" s="21">
        <f t="shared" si="10"/>
        <v>612500</v>
      </c>
      <c r="L75" s="60"/>
      <c r="M75" s="60"/>
      <c r="N75" s="60">
        <v>3.0</v>
      </c>
      <c r="O75" s="61" t="str">
        <f t="shared" si="11"/>
        <v>Категория 3</v>
      </c>
    </row>
    <row r="76">
      <c r="A76" s="22" t="s">
        <v>127</v>
      </c>
      <c r="B76" s="18">
        <f>VLOOKUP(O76,'___'!$B$92:$F$95,HLOOKUP($N$64,'___'!$D$89:$F$90,2,0),0)</f>
        <v>0.13</v>
      </c>
      <c r="C76" s="19">
        <f t="shared" si="8"/>
        <v>65</v>
      </c>
      <c r="D76" s="19">
        <f>VLOOKUP(O76,'___'!$B$92:$F$95,2,0)</f>
        <v>12</v>
      </c>
      <c r="E76" s="19">
        <f t="shared" si="9"/>
        <v>780</v>
      </c>
      <c r="F76" s="20">
        <f>if($F$67="Выберите правильный размер компенсации","Выберите правильный размер компенсации",IF($E$66="Рубли",$E$67,HLOOKUP($E$65,'___'!$B$32:$D$39,8,0)*$E$67))</f>
        <v>3500</v>
      </c>
      <c r="G76" s="21">
        <f t="shared" si="10"/>
        <v>2730000</v>
      </c>
      <c r="L76" s="60"/>
      <c r="M76" s="60"/>
      <c r="N76" s="60">
        <v>1.0</v>
      </c>
      <c r="O76" s="61" t="str">
        <f t="shared" si="11"/>
        <v>Категория 1</v>
      </c>
    </row>
    <row r="79">
      <c r="A79" s="58" t="s">
        <v>128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</row>
    <row r="82">
      <c r="A82" s="60" t="s">
        <v>61</v>
      </c>
      <c r="B82" s="60" t="s">
        <v>129</v>
      </c>
      <c r="C82" s="60" t="s">
        <v>13</v>
      </c>
      <c r="E82" s="60" t="s">
        <v>86</v>
      </c>
      <c r="F82" s="60">
        <v>4400.0</v>
      </c>
      <c r="I82" s="62">
        <v>0.3</v>
      </c>
      <c r="L82" s="60" t="s">
        <v>130</v>
      </c>
    </row>
    <row r="83">
      <c r="A83" s="60" t="s">
        <v>8</v>
      </c>
      <c r="B83" s="60" t="s">
        <v>131</v>
      </c>
      <c r="C83" s="60" t="s">
        <v>132</v>
      </c>
      <c r="E83" s="60" t="s">
        <v>5</v>
      </c>
      <c r="F83" s="60">
        <v>3600.0</v>
      </c>
      <c r="I83" s="62">
        <v>0.5</v>
      </c>
      <c r="L83" s="60" t="s">
        <v>133</v>
      </c>
    </row>
    <row r="84">
      <c r="E84" s="60" t="s">
        <v>134</v>
      </c>
      <c r="F84" s="60">
        <v>2600.0</v>
      </c>
      <c r="I84" s="62">
        <v>0.7</v>
      </c>
      <c r="L84" s="60" t="s">
        <v>135</v>
      </c>
    </row>
    <row r="85">
      <c r="I85" s="62">
        <v>1.0</v>
      </c>
    </row>
    <row r="89">
      <c r="D89" s="60">
        <v>1.0</v>
      </c>
      <c r="E89" s="60">
        <v>2.0</v>
      </c>
      <c r="F89" s="60">
        <v>3.0</v>
      </c>
    </row>
    <row r="90">
      <c r="D90" s="60">
        <v>3.0</v>
      </c>
      <c r="E90" s="60">
        <v>4.0</v>
      </c>
      <c r="F90" s="60">
        <v>5.0</v>
      </c>
    </row>
    <row r="91">
      <c r="B91" s="60" t="s">
        <v>136</v>
      </c>
      <c r="D91" s="60" t="s">
        <v>137</v>
      </c>
      <c r="E91" s="60" t="s">
        <v>138</v>
      </c>
      <c r="F91" s="60" t="s">
        <v>139</v>
      </c>
      <c r="G91" s="60" t="s">
        <v>140</v>
      </c>
    </row>
    <row r="92">
      <c r="B92" s="60" t="s">
        <v>141</v>
      </c>
      <c r="C92" s="60">
        <v>12.0</v>
      </c>
      <c r="D92" s="62">
        <v>0.33</v>
      </c>
      <c r="E92" s="62">
        <v>0.23</v>
      </c>
      <c r="F92" s="62">
        <v>0.13</v>
      </c>
    </row>
    <row r="93">
      <c r="B93" s="60" t="s">
        <v>142</v>
      </c>
      <c r="C93" s="60">
        <v>10.0</v>
      </c>
      <c r="D93" s="62">
        <v>0.25</v>
      </c>
      <c r="E93" s="62">
        <v>0.15</v>
      </c>
      <c r="F93" s="62">
        <v>0.1</v>
      </c>
    </row>
    <row r="94">
      <c r="B94" s="60" t="s">
        <v>143</v>
      </c>
      <c r="C94" s="60">
        <v>7.0</v>
      </c>
      <c r="D94" s="62">
        <v>0.2</v>
      </c>
      <c r="E94" s="62">
        <v>0.1</v>
      </c>
      <c r="F94" s="62">
        <v>0.05</v>
      </c>
    </row>
    <row r="95">
      <c r="B95" s="60" t="s">
        <v>144</v>
      </c>
      <c r="C95" s="60">
        <v>5.0</v>
      </c>
      <c r="D95" s="62">
        <v>0.15</v>
      </c>
      <c r="E95" s="62">
        <v>0.07</v>
      </c>
      <c r="F95" s="62">
        <v>0.03</v>
      </c>
    </row>
    <row r="96">
      <c r="B96" s="60" t="s">
        <v>140</v>
      </c>
      <c r="G96" s="62">
        <v>0.12</v>
      </c>
    </row>
    <row r="102">
      <c r="E102" s="60" t="s">
        <v>86</v>
      </c>
    </row>
    <row r="103">
      <c r="E103" s="60" t="s">
        <v>5</v>
      </c>
    </row>
    <row r="104">
      <c r="E104" s="60" t="s">
        <v>134</v>
      </c>
    </row>
  </sheetData>
  <mergeCells count="16">
    <mergeCell ref="B46:D46"/>
    <mergeCell ref="B47:D47"/>
    <mergeCell ref="F47:H47"/>
    <mergeCell ref="B48:D48"/>
    <mergeCell ref="F48:H48"/>
    <mergeCell ref="J48:L48"/>
    <mergeCell ref="F49:H49"/>
    <mergeCell ref="F67:H67"/>
    <mergeCell ref="F68:H68"/>
    <mergeCell ref="B49:D49"/>
    <mergeCell ref="B64:D64"/>
    <mergeCell ref="B65:D65"/>
    <mergeCell ref="F65:H65"/>
    <mergeCell ref="B66:D66"/>
    <mergeCell ref="B67:D67"/>
    <mergeCell ref="B68:D68"/>
  </mergeCells>
  <conditionalFormatting sqref="F45:F46 F48:F49 J48">
    <cfRule type="notContainsBlanks" dxfId="0" priority="1">
      <formula>LEN(TRIM(F45))&gt;0</formula>
    </cfRule>
  </conditionalFormatting>
  <conditionalFormatting sqref="F64 F67:F68">
    <cfRule type="notContainsBlanks" dxfId="0" priority="2">
      <formula>LEN(TRIM(F64))&gt;0</formula>
    </cfRule>
  </conditionalFormatting>
  <drawing r:id="rId1"/>
</worksheet>
</file>